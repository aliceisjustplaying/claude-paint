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ofiles" sheetId="2" state="visible" r:id="rId2"/>
    <sheet name="Models" sheetId="3" state="visible" r:id="rId3"/>
    <sheet name="Our models" sheetId="4" state="visible" r:id="rId4"/>
    <sheet name="Measured paintings" sheetId="5" state="visible" r:id="rId5"/>
  </sheets>
  <definedNames>
    <definedName name="_xlnm._FilterDatabase" localSheetId="2" hidden="1">'Models'!$A$1:$R$289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color rgb="001F4E9A"/>
    </font>
  </fonts>
  <fills count="4">
    <fill>
      <patternFill/>
    </fill>
    <fill>
      <patternFill patternType="gray125"/>
    </fill>
    <fill>
      <patternFill patternType="solid">
        <fgColor rgb="00DDD6C8"/>
      </patternFill>
    </fill>
    <fill>
      <patternFill patternType="solid">
        <fgColor rgb="00F3E6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3" fontId="2" fillId="0" borderId="0" pivotButton="0" quotePrefix="0" xfId="0"/>
    <xf numFmtId="9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Vision models on OpenRouter and what one painting would cost there (built 2026-09-28).</t>
        </is>
      </c>
    </row>
    <row r="2">
      <c r="A2" t="inlineStr">
        <is>
          <t>Source: https://openrouter.ai/api/v1/models, fetched 2026-09-28: every model whose input modalities include image (list prices, $ per million tokens).</t>
        </is>
      </c>
    </row>
    <row r="3">
      <c r="A3" t="inlineStr">
        <is>
          <t>Painting cost = prompt tokens x (uncached share x input price + cache-read share x cache-read price + cache-write share x cache-write price) + output tokens x output price + images x image price.</t>
        </is>
      </c>
    </row>
    <row r="4">
      <c r="A4" t="inlineStr">
        <is>
          <t>No cache-read or cache-write price listed: those tokens are charged at the input price. 'typical $ no cache' charges the whole prompt at the input price (if caching doesn't work through a provider).</t>
        </is>
      </c>
    </row>
    <row r="5">
      <c r="A5" t="inlineStr">
        <is>
          <t>Output includes reasoning tokens (they're billed as output). Thinking level changes output a lot: our runs were high to max.</t>
        </is>
      </c>
    </row>
    <row r="6">
      <c r="A6" t="inlineStr">
        <is>
          <t>Token counts are from our session logs (Measured paintings); other models tokenize text and images differently, so treat every cost as a ballpark, x0.5 to x2.</t>
        </is>
      </c>
    </row>
    <row r="7">
      <c r="A7" t="inlineStr">
        <is>
          <t>Painters need tool calls ('tool calls' = yes) and a long context (sessions reached 330K tokens before compaction; compaction works, tested 2026-09-28).</t>
        </is>
      </c>
    </row>
    <row r="8">
      <c r="A8" t="inlineStr">
        <is>
          <t>Batch rows are half price but not interactive (not usable for painting). Router rows have variable prices.</t>
        </is>
      </c>
    </row>
    <row r="9">
      <c r="A9" t="inlineStr">
        <is>
          <t>Rows shaded yellow are models we have painted with; 'used by us' says where. Subscriptions (ChatGPT for Luna, OpenCode Go/Zen) were cheaper than these list prices.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Token profile of one painting in 4 sittings (edit the blue cells; every cost recalculates)</t>
        </is>
      </c>
    </row>
    <row r="3">
      <c r="A3" s="2" t="inlineStr">
        <is>
          <t>profile</t>
        </is>
      </c>
      <c r="B3" s="2" t="inlineStr">
        <is>
          <t>prompt tokens (all)</t>
        </is>
      </c>
      <c r="C3" s="2" t="inlineStr">
        <is>
          <t>output tokens</t>
        </is>
      </c>
      <c r="D3" s="2" t="inlineStr">
        <is>
          <t>images</t>
        </is>
      </c>
      <c r="E3" s="2" t="inlineStr">
        <is>
          <t>based on</t>
        </is>
      </c>
    </row>
    <row r="4">
      <c r="A4" t="inlineStr">
        <is>
          <t>light</t>
        </is>
      </c>
      <c r="B4" s="3" t="n">
        <v>4600000</v>
      </c>
      <c r="C4" s="3" t="n">
        <v>72000</v>
      </c>
      <c r="D4" s="3" t="n">
        <v>55</v>
      </c>
      <c r="E4" t="inlineStr">
        <is>
          <t>r19 Luna F (GPT-6 Luna, stopped early: 36 chunks)</t>
        </is>
      </c>
    </row>
    <row r="5">
      <c r="A5" t="inlineStr">
        <is>
          <t>typical</t>
        </is>
      </c>
      <c r="B5" s="3" t="n">
        <v>40000000</v>
      </c>
      <c r="C5" s="3" t="n">
        <v>220000</v>
      </c>
      <c r="D5" s="3" t="n">
        <v>200</v>
      </c>
      <c r="E5" t="inlineStr">
        <is>
          <t>median of the 9 full 4-sitting paintings (rounds 17-19)</t>
        </is>
      </c>
    </row>
    <row r="6">
      <c r="A6" t="inlineStr">
        <is>
          <t>heavy</t>
        </is>
      </c>
      <c r="B6" s="3" t="n">
        <v>75000000</v>
      </c>
      <c r="C6" s="3" t="n">
        <v>600000</v>
      </c>
      <c r="D6" s="3" t="n">
        <v>300</v>
      </c>
      <c r="E6" t="inlineStr">
        <is>
          <t>r19 Gemini B (57M, 654K), r18 Space Bunny (90M, 585K)</t>
        </is>
      </c>
    </row>
    <row r="8">
      <c r="A8" s="1" t="inlineStr">
        <is>
          <t>prompt split</t>
        </is>
      </c>
      <c r="B8" t="inlineStr">
        <is>
          <t>share</t>
        </is>
      </c>
    </row>
    <row r="9">
      <c r="A9" t="inlineStr">
        <is>
          <t>cache read</t>
        </is>
      </c>
      <c r="B9" s="4" t="n">
        <v>0.89</v>
      </c>
    </row>
    <row r="10">
      <c r="A10" t="inlineStr">
        <is>
          <t>uncached input</t>
        </is>
      </c>
      <c r="B10" s="4" t="n">
        <v>0.08</v>
      </c>
    </row>
    <row r="11">
      <c r="A11" t="inlineStr">
        <is>
          <t>cache write</t>
        </is>
      </c>
      <c r="B11" s="4" t="n">
        <v>0.03</v>
      </c>
    </row>
    <row r="12">
      <c r="A12" t="inlineStr">
        <is>
          <t>(measured: Opus 97% read + 3-10% writes; Gemini 92%; DeepSeek 85%; Muse 95%)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4" customWidth="1" min="2" max="2"/>
    <col width="22" customWidth="1" min="3" max="3"/>
    <col width="8" customWidth="1" min="4" max="4"/>
    <col width="7" customWidth="1" min="5" max="5"/>
    <col width="11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2" customWidth="1" min="16" max="16"/>
    <col width="11" customWidth="1" min="17" max="17"/>
    <col width="11" customWidth="1" min="18" max="18"/>
  </cols>
  <sheetData>
    <row r="1">
      <c r="A1" s="5" t="inlineStr">
        <is>
          <t>model id</t>
        </is>
      </c>
      <c r="B1" s="5" t="inlineStr">
        <is>
          <t>name</t>
        </is>
      </c>
      <c r="C1" s="5" t="inlineStr">
        <is>
          <t>used by us</t>
        </is>
      </c>
      <c r="D1" s="5" t="inlineStr">
        <is>
          <t>tool calls</t>
        </is>
      </c>
      <c r="E1" s="5" t="inlineStr">
        <is>
          <t>text out</t>
        </is>
      </c>
      <c r="F1" s="5" t="inlineStr">
        <is>
          <t>context</t>
        </is>
      </c>
      <c r="G1" s="5" t="inlineStr">
        <is>
          <t>kind</t>
        </is>
      </c>
      <c r="H1" s="5" t="inlineStr">
        <is>
          <t>$/M input</t>
        </is>
      </c>
      <c r="I1" s="5" t="inlineStr">
        <is>
          <t>$/M output</t>
        </is>
      </c>
      <c r="J1" s="5" t="inlineStr">
        <is>
          <t>$/M cache read</t>
        </is>
      </c>
      <c r="K1" s="5" t="inlineStr">
        <is>
          <t>$/M cache write</t>
        </is>
      </c>
      <c r="L1" s="5" t="inlineStr">
        <is>
          <t>$/image</t>
        </is>
      </c>
      <c r="M1" s="5" t="inlineStr">
        <is>
          <t>light $</t>
        </is>
      </c>
      <c r="N1" s="5" t="inlineStr">
        <is>
          <t>typical $</t>
        </is>
      </c>
      <c r="O1" s="5" t="inlineStr">
        <is>
          <t>heavy $</t>
        </is>
      </c>
      <c r="P1" s="5" t="inlineStr">
        <is>
          <t>typical $ no cache</t>
        </is>
      </c>
      <c r="Q1" s="5" t="inlineStr">
        <is>
          <t>created</t>
        </is>
      </c>
      <c r="R1" s="5" t="inlineStr">
        <is>
          <t>expires</t>
        </is>
      </c>
    </row>
    <row r="2">
      <c r="A2" s="6" t="inlineStr">
        <is>
          <t>stealth/space-bunny-alpha</t>
        </is>
      </c>
      <c r="B2" s="6" t="inlineStr">
        <is>
          <t>Space Bunny Alpha</t>
        </is>
      </c>
      <c r="C2" s="6" t="inlineStr">
        <is>
          <t>r18 as space-bunny-free (via Go)</t>
        </is>
      </c>
      <c r="D2" s="6" t="inlineStr">
        <is>
          <t>yes</t>
        </is>
      </c>
      <c r="E2" s="6" t="inlineStr">
        <is>
          <t>yes</t>
        </is>
      </c>
      <c r="F2" s="7" t="n">
        <v>1000000</v>
      </c>
      <c r="G2" s="6" t="inlineStr">
        <is>
          <t>free</t>
        </is>
      </c>
      <c r="H2" s="8" t="n">
        <v>0</v>
      </c>
      <c r="I2" s="8" t="n">
        <v>0</v>
      </c>
      <c r="J2" s="8" t="n"/>
      <c r="K2" s="8" t="n"/>
      <c r="L2" s="8" t="n"/>
      <c r="M2" s="9">
        <f>IF(OR(H2="",I2=""),"",(Profiles!$B$4*(Profiles!$B$10*H2+Profiles!$B$9*IF(J2="",H2,J2)+Profiles!$B$11*IF(K2="",H2,K2))+Profiles!$C$4*I2)/1000000+Profiles!$D$4*IF(L2="",0,L2))</f>
        <v/>
      </c>
      <c r="N2" s="9">
        <f>IF(OR(H2="",I2=""),"",(Profiles!$B$5*(Profiles!$B$10*H2+Profiles!$B$9*IF(J2="",H2,J2)+Profiles!$B$11*IF(K2="",H2,K2))+Profiles!$C$5*I2)/1000000+Profiles!$D$5*IF(L2="",0,L2))</f>
        <v/>
      </c>
      <c r="O2" s="9">
        <f>IF(OR(H2="",I2=""),"",(Profiles!$B$6*(Profiles!$B$10*H2+Profiles!$B$9*IF(J2="",H2,J2)+Profiles!$B$11*IF(K2="",H2,K2))+Profiles!$C$6*I2)/1000000+Profiles!$D$6*IF(L2="",0,L2))</f>
        <v/>
      </c>
      <c r="P2" s="9">
        <f>IF(OR(H2="",I2=""),"",(Profiles!$B$5*(Profiles!$B$10*H2+Profiles!$B$9*H2+Profiles!$B$11*H2)+Profiles!$C$5*I2)/1000000+Profiles!$D$5*IF(L2="",0,L2))</f>
        <v/>
      </c>
      <c r="Q2" s="6" t="inlineStr">
        <is>
          <t>2026-09-23</t>
        </is>
      </c>
      <c r="R2" s="6" t="inlineStr"/>
    </row>
    <row r="3">
      <c r="A3" t="inlineStr">
        <is>
          <t>qwen/qwen3.8-27b:free</t>
        </is>
      </c>
      <c r="B3" t="inlineStr">
        <is>
          <t>Qwen: Qwen3.8 27B (free)</t>
        </is>
      </c>
      <c r="D3" t="inlineStr">
        <is>
          <t>yes</t>
        </is>
      </c>
      <c r="E3" t="inlineStr">
        <is>
          <t>yes</t>
        </is>
      </c>
      <c r="F3" s="10" t="n">
        <v>262144</v>
      </c>
      <c r="G3" t="inlineStr">
        <is>
          <t>free</t>
        </is>
      </c>
      <c r="H3" s="11" t="n">
        <v>0</v>
      </c>
      <c r="I3" s="11" t="n">
        <v>0</v>
      </c>
      <c r="J3" s="11" t="n"/>
      <c r="K3" s="11" t="n"/>
      <c r="L3" s="11" t="n"/>
      <c r="M3" s="12">
        <f>IF(OR(H3="",I3=""),"",(Profiles!$B$4*(Profiles!$B$10*H3+Profiles!$B$9*IF(J3="",H3,J3)+Profiles!$B$11*IF(K3="",H3,K3))+Profiles!$C$4*I3)/1000000+Profiles!$D$4*IF(L3="",0,L3))</f>
        <v/>
      </c>
      <c r="N3" s="12">
        <f>IF(OR(H3="",I3=""),"",(Profiles!$B$5*(Profiles!$B$10*H3+Profiles!$B$9*IF(J3="",H3,J3)+Profiles!$B$11*IF(K3="",H3,K3))+Profiles!$C$5*I3)/1000000+Profiles!$D$5*IF(L3="",0,L3))</f>
        <v/>
      </c>
      <c r="O3" s="12">
        <f>IF(OR(H3="",I3=""),"",(Profiles!$B$6*(Profiles!$B$10*H3+Profiles!$B$9*IF(J3="",H3,J3)+Profiles!$B$11*IF(K3="",H3,K3))+Profiles!$C$6*I3)/1000000+Profiles!$D$6*IF(L3="",0,L3))</f>
        <v/>
      </c>
      <c r="P3" s="12">
        <f>IF(OR(H3="",I3=""),"",(Profiles!$B$5*(Profiles!$B$10*H3+Profiles!$B$9*H3+Profiles!$B$11*H3)+Profiles!$C$5*I3)/1000000+Profiles!$D$5*IF(L3="",0,L3))</f>
        <v/>
      </c>
      <c r="Q3" t="inlineStr">
        <is>
          <t>2026-08-14</t>
        </is>
      </c>
    </row>
    <row r="4">
      <c r="A4" t="inlineStr">
        <is>
          <t>dots-studio/dots-3-note-preview:free</t>
        </is>
      </c>
      <c r="B4" t="inlineStr">
        <is>
          <t>Dots Studio: Dots3-Note Preview (free)</t>
        </is>
      </c>
      <c r="D4" t="inlineStr">
        <is>
          <t>yes</t>
        </is>
      </c>
      <c r="E4" t="inlineStr">
        <is>
          <t>yes</t>
        </is>
      </c>
      <c r="F4" s="10" t="n">
        <v>512000</v>
      </c>
      <c r="G4" t="inlineStr">
        <is>
          <t>free</t>
        </is>
      </c>
      <c r="H4" s="11" t="n">
        <v>0</v>
      </c>
      <c r="I4" s="11" t="n">
        <v>0</v>
      </c>
      <c r="J4" s="11" t="n"/>
      <c r="K4" s="11" t="n"/>
      <c r="L4" s="11" t="n"/>
      <c r="M4" s="12">
        <f>IF(OR(H4="",I4=""),"",(Profiles!$B$4*(Profiles!$B$10*H4+Profiles!$B$9*IF(J4="",H4,J4)+Profiles!$B$11*IF(K4="",H4,K4))+Profiles!$C$4*I4)/1000000+Profiles!$D$4*IF(L4="",0,L4))</f>
        <v/>
      </c>
      <c r="N4" s="12">
        <f>IF(OR(H4="",I4=""),"",(Profiles!$B$5*(Profiles!$B$10*H4+Profiles!$B$9*IF(J4="",H4,J4)+Profiles!$B$11*IF(K4="",H4,K4))+Profiles!$C$5*I4)/1000000+Profiles!$D$5*IF(L4="",0,L4))</f>
        <v/>
      </c>
      <c r="O4" s="12">
        <f>IF(OR(H4="",I4=""),"",(Profiles!$B$6*(Profiles!$B$10*H4+Profiles!$B$9*IF(J4="",H4,J4)+Profiles!$B$11*IF(K4="",H4,K4))+Profiles!$C$6*I4)/1000000+Profiles!$D$6*IF(L4="",0,L4))</f>
        <v/>
      </c>
      <c r="P4" s="12">
        <f>IF(OR(H4="",I4=""),"",(Profiles!$B$5*(Profiles!$B$10*H4+Profiles!$B$9*H4+Profiles!$B$11*H4)+Profiles!$C$5*I4)/1000000+Profiles!$D$5*IF(L4="",0,L4))</f>
        <v/>
      </c>
      <c r="Q4" t="inlineStr">
        <is>
          <t>2026-08-14</t>
        </is>
      </c>
    </row>
    <row r="5">
      <c r="A5" t="inlineStr">
        <is>
          <t>thinkingmachines/inkling-small:free</t>
        </is>
      </c>
      <c r="B5" t="inlineStr">
        <is>
          <t>Thinking Machines: Inkling Small (free)</t>
        </is>
      </c>
      <c r="D5" t="inlineStr">
        <is>
          <t>yes</t>
        </is>
      </c>
      <c r="E5" t="inlineStr">
        <is>
          <t>yes</t>
        </is>
      </c>
      <c r="F5" s="10" t="n">
        <v>1048576</v>
      </c>
      <c r="G5" t="inlineStr">
        <is>
          <t>free</t>
        </is>
      </c>
      <c r="H5" s="11" t="n">
        <v>0</v>
      </c>
      <c r="I5" s="11" t="n">
        <v>0</v>
      </c>
      <c r="J5" s="11" t="n"/>
      <c r="K5" s="11" t="n"/>
      <c r="L5" s="11" t="n"/>
      <c r="M5" s="12">
        <f>IF(OR(H5="",I5=""),"",(Profiles!$B$4*(Profiles!$B$10*H5+Profiles!$B$9*IF(J5="",H5,J5)+Profiles!$B$11*IF(K5="",H5,K5))+Profiles!$C$4*I5)/1000000+Profiles!$D$4*IF(L5="",0,L5))</f>
        <v/>
      </c>
      <c r="N5" s="12">
        <f>IF(OR(H5="",I5=""),"",(Profiles!$B$5*(Profiles!$B$10*H5+Profiles!$B$9*IF(J5="",H5,J5)+Profiles!$B$11*IF(K5="",H5,K5))+Profiles!$C$5*I5)/1000000+Profiles!$D$5*IF(L5="",0,L5))</f>
        <v/>
      </c>
      <c r="O5" s="12">
        <f>IF(OR(H5="",I5=""),"",(Profiles!$B$6*(Profiles!$B$10*H5+Profiles!$B$9*IF(J5="",H5,J5)+Profiles!$B$11*IF(K5="",H5,K5))+Profiles!$C$6*I5)/1000000+Profiles!$D$6*IF(L5="",0,L5))</f>
        <v/>
      </c>
      <c r="P5" s="12">
        <f>IF(OR(H5="",I5=""),"",(Profiles!$B$5*(Profiles!$B$10*H5+Profiles!$B$9*H5+Profiles!$B$11*H5)+Profiles!$C$5*I5)/1000000+Profiles!$D$5*IF(L5="",0,L5))</f>
        <v/>
      </c>
      <c r="Q5" t="inlineStr">
        <is>
          <t>2026-07-30</t>
        </is>
      </c>
    </row>
    <row r="6">
      <c r="A6" t="inlineStr">
        <is>
          <t>thinkingmachines/inkling:free</t>
        </is>
      </c>
      <c r="B6" t="inlineStr">
        <is>
          <t>Thinking Machines: Inkling (free)</t>
        </is>
      </c>
      <c r="D6" t="inlineStr">
        <is>
          <t>yes</t>
        </is>
      </c>
      <c r="E6" t="inlineStr">
        <is>
          <t>yes</t>
        </is>
      </c>
      <c r="F6" s="10" t="n">
        <v>1048576</v>
      </c>
      <c r="G6" t="inlineStr">
        <is>
          <t>free</t>
        </is>
      </c>
      <c r="H6" s="11" t="n">
        <v>0</v>
      </c>
      <c r="I6" s="11" t="n">
        <v>0</v>
      </c>
      <c r="J6" s="11" t="n"/>
      <c r="K6" s="11" t="n"/>
      <c r="L6" s="11" t="n"/>
      <c r="M6" s="12">
        <f>IF(OR(H6="",I6=""),"",(Profiles!$B$4*(Profiles!$B$10*H6+Profiles!$B$9*IF(J6="",H6,J6)+Profiles!$B$11*IF(K6="",H6,K6))+Profiles!$C$4*I6)/1000000+Profiles!$D$4*IF(L6="",0,L6))</f>
        <v/>
      </c>
      <c r="N6" s="12">
        <f>IF(OR(H6="",I6=""),"",(Profiles!$B$5*(Profiles!$B$10*H6+Profiles!$B$9*IF(J6="",H6,J6)+Profiles!$B$11*IF(K6="",H6,K6))+Profiles!$C$5*I6)/1000000+Profiles!$D$5*IF(L6="",0,L6))</f>
        <v/>
      </c>
      <c r="O6" s="12">
        <f>IF(OR(H6="",I6=""),"",(Profiles!$B$6*(Profiles!$B$10*H6+Profiles!$B$9*IF(J6="",H6,J6)+Profiles!$B$11*IF(K6="",H6,K6))+Profiles!$C$6*I6)/1000000+Profiles!$D$6*IF(L6="",0,L6))</f>
        <v/>
      </c>
      <c r="P6" s="12">
        <f>IF(OR(H6="",I6=""),"",(Profiles!$B$5*(Profiles!$B$10*H6+Profiles!$B$9*H6+Profiles!$B$11*H6)+Profiles!$C$5*I6)/1000000+Profiles!$D$5*IF(L6="",0,L6))</f>
        <v/>
      </c>
      <c r="Q6" t="inlineStr">
        <is>
          <t>2026-07-17</t>
        </is>
      </c>
    </row>
    <row r="7">
      <c r="A7" t="inlineStr">
        <is>
          <t>nvidia/nemotron-3-nano-omni-30b-a3b-reasoning:free</t>
        </is>
      </c>
      <c r="B7" t="inlineStr">
        <is>
          <t>NVIDIA: Nemotron 3 Nano Omni (free)</t>
        </is>
      </c>
      <c r="D7" t="inlineStr">
        <is>
          <t>yes</t>
        </is>
      </c>
      <c r="E7" t="inlineStr">
        <is>
          <t>yes</t>
        </is>
      </c>
      <c r="F7" s="10" t="n">
        <v>256000</v>
      </c>
      <c r="G7" t="inlineStr">
        <is>
          <t>free</t>
        </is>
      </c>
      <c r="H7" s="11" t="n">
        <v>0</v>
      </c>
      <c r="I7" s="11" t="n">
        <v>0</v>
      </c>
      <c r="J7" s="11" t="n"/>
      <c r="K7" s="11" t="n"/>
      <c r="L7" s="11" t="n"/>
      <c r="M7" s="12">
        <f>IF(OR(H7="",I7=""),"",(Profiles!$B$4*(Profiles!$B$10*H7+Profiles!$B$9*IF(J7="",H7,J7)+Profiles!$B$11*IF(K7="",H7,K7))+Profiles!$C$4*I7)/1000000+Profiles!$D$4*IF(L7="",0,L7))</f>
        <v/>
      </c>
      <c r="N7" s="12">
        <f>IF(OR(H7="",I7=""),"",(Profiles!$B$5*(Profiles!$B$10*H7+Profiles!$B$9*IF(J7="",H7,J7)+Profiles!$B$11*IF(K7="",H7,K7))+Profiles!$C$5*I7)/1000000+Profiles!$D$5*IF(L7="",0,L7))</f>
        <v/>
      </c>
      <c r="O7" s="12">
        <f>IF(OR(H7="",I7=""),"",(Profiles!$B$6*(Profiles!$B$10*H7+Profiles!$B$9*IF(J7="",H7,J7)+Profiles!$B$11*IF(K7="",H7,K7))+Profiles!$C$6*I7)/1000000+Profiles!$D$6*IF(L7="",0,L7))</f>
        <v/>
      </c>
      <c r="P7" s="12">
        <f>IF(OR(H7="",I7=""),"",(Profiles!$B$5*(Profiles!$B$10*H7+Profiles!$B$9*H7+Profiles!$B$11*H7)+Profiles!$C$5*I7)/1000000+Profiles!$D$5*IF(L7="",0,L7))</f>
        <v/>
      </c>
      <c r="Q7" t="inlineStr">
        <is>
          <t>2026-04-28</t>
        </is>
      </c>
    </row>
    <row r="8">
      <c r="A8" t="inlineStr">
        <is>
          <t>google/gemma-4-26b-a4b-it:free</t>
        </is>
      </c>
      <c r="B8" t="inlineStr">
        <is>
          <t>Google: Gemma 4 26B A4B  (free)</t>
        </is>
      </c>
      <c r="D8" t="inlineStr">
        <is>
          <t>yes</t>
        </is>
      </c>
      <c r="E8" t="inlineStr">
        <is>
          <t>yes</t>
        </is>
      </c>
      <c r="F8" s="10" t="n">
        <v>262144</v>
      </c>
      <c r="G8" t="inlineStr">
        <is>
          <t>free</t>
        </is>
      </c>
      <c r="H8" s="11" t="n">
        <v>0</v>
      </c>
      <c r="I8" s="11" t="n">
        <v>0</v>
      </c>
      <c r="J8" s="11" t="n"/>
      <c r="K8" s="11" t="n"/>
      <c r="L8" s="11" t="n"/>
      <c r="M8" s="12">
        <f>IF(OR(H8="",I8=""),"",(Profiles!$B$4*(Profiles!$B$10*H8+Profiles!$B$9*IF(J8="",H8,J8)+Profiles!$B$11*IF(K8="",H8,K8))+Profiles!$C$4*I8)/1000000+Profiles!$D$4*IF(L8="",0,L8))</f>
        <v/>
      </c>
      <c r="N8" s="12">
        <f>IF(OR(H8="",I8=""),"",(Profiles!$B$5*(Profiles!$B$10*H8+Profiles!$B$9*IF(J8="",H8,J8)+Profiles!$B$11*IF(K8="",H8,K8))+Profiles!$C$5*I8)/1000000+Profiles!$D$5*IF(L8="",0,L8))</f>
        <v/>
      </c>
      <c r="O8" s="12">
        <f>IF(OR(H8="",I8=""),"",(Profiles!$B$6*(Profiles!$B$10*H8+Profiles!$B$9*IF(J8="",H8,J8)+Profiles!$B$11*IF(K8="",H8,K8))+Profiles!$C$6*I8)/1000000+Profiles!$D$6*IF(L8="",0,L8))</f>
        <v/>
      </c>
      <c r="P8" s="12">
        <f>IF(OR(H8="",I8=""),"",(Profiles!$B$5*(Profiles!$B$10*H8+Profiles!$B$9*H8+Profiles!$B$11*H8)+Profiles!$C$5*I8)/1000000+Profiles!$D$5*IF(L8="",0,L8))</f>
        <v/>
      </c>
      <c r="Q8" t="inlineStr">
        <is>
          <t>2026-04-03</t>
        </is>
      </c>
    </row>
    <row r="9">
      <c r="A9" t="inlineStr">
        <is>
          <t>google/gemma-4-31b-it:free</t>
        </is>
      </c>
      <c r="B9" t="inlineStr">
        <is>
          <t>Google: Gemma 4 31B (free)</t>
        </is>
      </c>
      <c r="D9" t="inlineStr">
        <is>
          <t>yes</t>
        </is>
      </c>
      <c r="E9" t="inlineStr">
        <is>
          <t>yes</t>
        </is>
      </c>
      <c r="F9" s="10" t="n">
        <v>262144</v>
      </c>
      <c r="G9" t="inlineStr">
        <is>
          <t>free</t>
        </is>
      </c>
      <c r="H9" s="11" t="n">
        <v>0</v>
      </c>
      <c r="I9" s="11" t="n">
        <v>0</v>
      </c>
      <c r="J9" s="11" t="n"/>
      <c r="K9" s="11" t="n"/>
      <c r="L9" s="11" t="n"/>
      <c r="M9" s="12">
        <f>IF(OR(H9="",I9=""),"",(Profiles!$B$4*(Profiles!$B$10*H9+Profiles!$B$9*IF(J9="",H9,J9)+Profiles!$B$11*IF(K9="",H9,K9))+Profiles!$C$4*I9)/1000000+Profiles!$D$4*IF(L9="",0,L9))</f>
        <v/>
      </c>
      <c r="N9" s="12">
        <f>IF(OR(H9="",I9=""),"",(Profiles!$B$5*(Profiles!$B$10*H9+Profiles!$B$9*IF(J9="",H9,J9)+Profiles!$B$11*IF(K9="",H9,K9))+Profiles!$C$5*I9)/1000000+Profiles!$D$5*IF(L9="",0,L9))</f>
        <v/>
      </c>
      <c r="O9" s="12">
        <f>IF(OR(H9="",I9=""),"",(Profiles!$B$6*(Profiles!$B$10*H9+Profiles!$B$9*IF(J9="",H9,J9)+Profiles!$B$11*IF(K9="",H9,K9))+Profiles!$C$6*I9)/1000000+Profiles!$D$6*IF(L9="",0,L9))</f>
        <v/>
      </c>
      <c r="P9" s="12">
        <f>IF(OR(H9="",I9=""),"",(Profiles!$B$5*(Profiles!$B$10*H9+Profiles!$B$9*H9+Profiles!$B$11*H9)+Profiles!$C$5*I9)/1000000+Profiles!$D$5*IF(L9="",0,L9))</f>
        <v/>
      </c>
      <c r="Q9" t="inlineStr">
        <is>
          <t>2026-04-02</t>
        </is>
      </c>
    </row>
    <row r="10">
      <c r="A10" t="inlineStr">
        <is>
          <t>openrouter/free</t>
        </is>
      </c>
      <c r="B10" t="inlineStr">
        <is>
          <t>Free Models Router</t>
        </is>
      </c>
      <c r="D10" t="inlineStr">
        <is>
          <t>yes</t>
        </is>
      </c>
      <c r="E10" t="inlineStr">
        <is>
          <t>yes</t>
        </is>
      </c>
      <c r="F10" s="10" t="n">
        <v>200000</v>
      </c>
      <c r="G10" t="inlineStr">
        <is>
          <t>free</t>
        </is>
      </c>
      <c r="H10" s="11" t="n">
        <v>0</v>
      </c>
      <c r="I10" s="11" t="n">
        <v>0</v>
      </c>
      <c r="J10" s="11" t="n"/>
      <c r="K10" s="11" t="n"/>
      <c r="L10" s="11" t="n"/>
      <c r="M10" s="12">
        <f>IF(OR(H10="",I10=""),"",(Profiles!$B$4*(Profiles!$B$10*H10+Profiles!$B$9*IF(J10="",H10,J10)+Profiles!$B$11*IF(K10="",H10,K10))+Profiles!$C$4*I10)/1000000+Profiles!$D$4*IF(L10="",0,L10))</f>
        <v/>
      </c>
      <c r="N10" s="12">
        <f>IF(OR(H10="",I10=""),"",(Profiles!$B$5*(Profiles!$B$10*H10+Profiles!$B$9*IF(J10="",H10,J10)+Profiles!$B$11*IF(K10="",H10,K10))+Profiles!$C$5*I10)/1000000+Profiles!$D$5*IF(L10="",0,L10))</f>
        <v/>
      </c>
      <c r="O10" s="12">
        <f>IF(OR(H10="",I10=""),"",(Profiles!$B$6*(Profiles!$B$10*H10+Profiles!$B$9*IF(J10="",H10,J10)+Profiles!$B$11*IF(K10="",H10,K10))+Profiles!$C$6*I10)/1000000+Profiles!$D$6*IF(L10="",0,L10))</f>
        <v/>
      </c>
      <c r="P10" s="12">
        <f>IF(OR(H10="",I10=""),"",(Profiles!$B$5*(Profiles!$B$10*H10+Profiles!$B$9*H10+Profiles!$B$11*H10)+Profiles!$C$5*I10)/1000000+Profiles!$D$5*IF(L10="",0,L10))</f>
        <v/>
      </c>
      <c r="Q10" t="inlineStr">
        <is>
          <t>2026-02-01</t>
        </is>
      </c>
    </row>
    <row r="11">
      <c r="A11" t="inlineStr">
        <is>
          <t>~deepseek/deepseek-flash-latest</t>
        </is>
      </c>
      <c r="B11" t="inlineStr">
        <is>
          <t>DeepSeek: DeepSeek Flash Latest</t>
        </is>
      </c>
      <c r="D11" t="inlineStr">
        <is>
          <t>yes</t>
        </is>
      </c>
      <c r="E11" t="inlineStr">
        <is>
          <t>yes</t>
        </is>
      </c>
      <c r="F11" s="10" t="n">
        <v>1048576</v>
      </c>
      <c r="G11" t="inlineStr">
        <is>
          <t>alias (latest)</t>
        </is>
      </c>
      <c r="H11" s="11" t="n">
        <v>0.035</v>
      </c>
      <c r="I11" s="11" t="n">
        <v>0.29</v>
      </c>
      <c r="J11" s="11" t="n">
        <v>0.001</v>
      </c>
      <c r="K11" s="11" t="n"/>
      <c r="L11" s="11" t="n"/>
      <c r="M11" s="12">
        <f>IF(OR(H11="",I11=""),"",(Profiles!$B$4*(Profiles!$B$10*H11+Profiles!$B$9*IF(J11="",H11,J11)+Profiles!$B$11*IF(K11="",H11,K11))+Profiles!$C$4*I11)/1000000+Profiles!$D$4*IF(L11="",0,L11))</f>
        <v/>
      </c>
      <c r="N11" s="12">
        <f>IF(OR(H11="",I11=""),"",(Profiles!$B$5*(Profiles!$B$10*H11+Profiles!$B$9*IF(J11="",H11,J11)+Profiles!$B$11*IF(K11="",H11,K11))+Profiles!$C$5*I11)/1000000+Profiles!$D$5*IF(L11="",0,L11))</f>
        <v/>
      </c>
      <c r="O11" s="12">
        <f>IF(OR(H11="",I11=""),"",(Profiles!$B$6*(Profiles!$B$10*H11+Profiles!$B$9*IF(J11="",H11,J11)+Profiles!$B$11*IF(K11="",H11,K11))+Profiles!$C$6*I11)/1000000+Profiles!$D$6*IF(L11="",0,L11))</f>
        <v/>
      </c>
      <c r="P11" s="12">
        <f>IF(OR(H11="",I11=""),"",(Profiles!$B$5*(Profiles!$B$10*H11+Profiles!$B$9*H11+Profiles!$B$11*H11)+Profiles!$C$5*I11)/1000000+Profiles!$D$5*IF(L11="",0,L11))</f>
        <v/>
      </c>
      <c r="Q11" t="inlineStr">
        <is>
          <t>2026-09-14</t>
        </is>
      </c>
    </row>
    <row r="12">
      <c r="A12" s="6" t="inlineStr">
        <is>
          <t>deepseek/deepseek-v4.1-flash</t>
        </is>
      </c>
      <c r="B12" s="6" t="inlineStr">
        <is>
          <t>DeepSeek: DeepSeek V4.1 Flash</t>
        </is>
      </c>
      <c r="C12" s="6" t="inlineStr">
        <is>
          <t>r18 (via Go)</t>
        </is>
      </c>
      <c r="D12" s="6" t="inlineStr">
        <is>
          <t>yes</t>
        </is>
      </c>
      <c r="E12" s="6" t="inlineStr">
        <is>
          <t>yes</t>
        </is>
      </c>
      <c r="F12" s="7" t="n">
        <v>1048576</v>
      </c>
      <c r="G12" s="6" t="inlineStr"/>
      <c r="H12" s="8" t="n">
        <v>0.035</v>
      </c>
      <c r="I12" s="8" t="n">
        <v>0.29</v>
      </c>
      <c r="J12" s="8" t="n">
        <v>0.001</v>
      </c>
      <c r="K12" s="8" t="n"/>
      <c r="L12" s="8" t="n"/>
      <c r="M12" s="9">
        <f>IF(OR(H12="",I12=""),"",(Profiles!$B$4*(Profiles!$B$10*H12+Profiles!$B$9*IF(J12="",H12,J12)+Profiles!$B$11*IF(K12="",H12,K12))+Profiles!$C$4*I12)/1000000+Profiles!$D$4*IF(L12="",0,L12))</f>
        <v/>
      </c>
      <c r="N12" s="9">
        <f>IF(OR(H12="",I12=""),"",(Profiles!$B$5*(Profiles!$B$10*H12+Profiles!$B$9*IF(J12="",H12,J12)+Profiles!$B$11*IF(K12="",H12,K12))+Profiles!$C$5*I12)/1000000+Profiles!$D$5*IF(L12="",0,L12))</f>
        <v/>
      </c>
      <c r="O12" s="9">
        <f>IF(OR(H12="",I12=""),"",(Profiles!$B$6*(Profiles!$B$10*H12+Profiles!$B$9*IF(J12="",H12,J12)+Profiles!$B$11*IF(K12="",H12,K12))+Profiles!$C$6*I12)/1000000+Profiles!$D$6*IF(L12="",0,L12))</f>
        <v/>
      </c>
      <c r="P12" s="9">
        <f>IF(OR(H12="",I12=""),"",(Profiles!$B$5*(Profiles!$B$10*H12+Profiles!$B$9*H12+Profiles!$B$11*H12)+Profiles!$C$5*I12)/1000000+Profiles!$D$5*IF(L12="",0,L12))</f>
        <v/>
      </c>
      <c r="Q12" s="6" t="inlineStr">
        <is>
          <t>2026-09-10</t>
        </is>
      </c>
      <c r="R12" s="6" t="inlineStr"/>
    </row>
    <row r="13">
      <c r="A13" t="inlineStr">
        <is>
          <t>inclusionai/ling-3.0-flash-vl</t>
        </is>
      </c>
      <c r="B13" t="inlineStr">
        <is>
          <t>inclusionAI: Ling 3.0 Flash VL</t>
        </is>
      </c>
      <c r="D13" t="inlineStr">
        <is>
          <t>yes</t>
        </is>
      </c>
      <c r="E13" t="inlineStr">
        <is>
          <t>yes</t>
        </is>
      </c>
      <c r="F13" s="10" t="n">
        <v>262144</v>
      </c>
      <c r="H13" s="11" t="n">
        <v>0.021</v>
      </c>
      <c r="I13" s="11" t="n">
        <v>0.0616</v>
      </c>
      <c r="J13" s="11" t="n">
        <v>0.004200000000000001</v>
      </c>
      <c r="K13" s="11" t="n"/>
      <c r="L13" s="11" t="n"/>
      <c r="M13" s="12">
        <f>IF(OR(H13="",I13=""),"",(Profiles!$B$4*(Profiles!$B$10*H13+Profiles!$B$9*IF(J13="",H13,J13)+Profiles!$B$11*IF(K13="",H13,K13))+Profiles!$C$4*I13)/1000000+Profiles!$D$4*IF(L13="",0,L13))</f>
        <v/>
      </c>
      <c r="N13" s="12">
        <f>IF(OR(H13="",I13=""),"",(Profiles!$B$5*(Profiles!$B$10*H13+Profiles!$B$9*IF(J13="",H13,J13)+Profiles!$B$11*IF(K13="",H13,K13))+Profiles!$C$5*I13)/1000000+Profiles!$D$5*IF(L13="",0,L13))</f>
        <v/>
      </c>
      <c r="O13" s="12">
        <f>IF(OR(H13="",I13=""),"",(Profiles!$B$6*(Profiles!$B$10*H13+Profiles!$B$9*IF(J13="",H13,J13)+Profiles!$B$11*IF(K13="",H13,K13))+Profiles!$C$6*I13)/1000000+Profiles!$D$6*IF(L13="",0,L13))</f>
        <v/>
      </c>
      <c r="P13" s="12">
        <f>IF(OR(H13="",I13=""),"",(Profiles!$B$5*(Profiles!$B$10*H13+Profiles!$B$9*H13+Profiles!$B$11*H13)+Profiles!$C$5*I13)/1000000+Profiles!$D$5*IF(L13="",0,L13))</f>
        <v/>
      </c>
      <c r="Q13" t="inlineStr">
        <is>
          <t>2026-09-10</t>
        </is>
      </c>
    </row>
    <row r="14">
      <c r="A14" t="inlineStr">
        <is>
          <t>qwen/qwen3.7-flash</t>
        </is>
      </c>
      <c r="B14" t="inlineStr">
        <is>
          <t>Qwen: Qwen3.7 Flash</t>
        </is>
      </c>
      <c r="D14" t="inlineStr">
        <is>
          <t>yes</t>
        </is>
      </c>
      <c r="E14" t="inlineStr">
        <is>
          <t>yes</t>
        </is>
      </c>
      <c r="F14" s="10" t="n">
        <v>1000000</v>
      </c>
      <c r="H14" s="11" t="n">
        <v>0.03</v>
      </c>
      <c r="I14" s="11" t="n">
        <v>0.13</v>
      </c>
      <c r="J14" s="11" t="n">
        <v>0.006</v>
      </c>
      <c r="K14" s="11" t="n">
        <v>0.03800000000000001</v>
      </c>
      <c r="L14" s="11" t="n"/>
      <c r="M14" s="12">
        <f>IF(OR(H14="",I14=""),"",(Profiles!$B$4*(Profiles!$B$10*H14+Profiles!$B$9*IF(J14="",H14,J14)+Profiles!$B$11*IF(K14="",H14,K14))+Profiles!$C$4*I14)/1000000+Profiles!$D$4*IF(L14="",0,L14))</f>
        <v/>
      </c>
      <c r="N14" s="12">
        <f>IF(OR(H14="",I14=""),"",(Profiles!$B$5*(Profiles!$B$10*H14+Profiles!$B$9*IF(J14="",H14,J14)+Profiles!$B$11*IF(K14="",H14,K14))+Profiles!$C$5*I14)/1000000+Profiles!$D$5*IF(L14="",0,L14))</f>
        <v/>
      </c>
      <c r="O14" s="12">
        <f>IF(OR(H14="",I14=""),"",(Profiles!$B$6*(Profiles!$B$10*H14+Profiles!$B$9*IF(J14="",H14,J14)+Profiles!$B$11*IF(K14="",H14,K14))+Profiles!$C$6*I14)/1000000+Profiles!$D$6*IF(L14="",0,L14))</f>
        <v/>
      </c>
      <c r="P14" s="12">
        <f>IF(OR(H14="",I14=""),"",(Profiles!$B$5*(Profiles!$B$10*H14+Profiles!$B$9*H14+Profiles!$B$11*H14)+Profiles!$C$5*I14)/1000000+Profiles!$D$5*IF(L14="",0,L14))</f>
        <v/>
      </c>
      <c r="Q14" t="inlineStr">
        <is>
          <t>2026-07-27</t>
        </is>
      </c>
    </row>
    <row r="15">
      <c r="A15" t="inlineStr">
        <is>
          <t>openai/gpt-5-nano</t>
        </is>
      </c>
      <c r="B15" t="inlineStr">
        <is>
          <t>OpenAI: GPT-5 Nano</t>
        </is>
      </c>
      <c r="D15" t="inlineStr">
        <is>
          <t>yes</t>
        </is>
      </c>
      <c r="E15" t="inlineStr">
        <is>
          <t>yes</t>
        </is>
      </c>
      <c r="F15" s="10" t="n">
        <v>400000</v>
      </c>
      <c r="H15" s="11" t="n">
        <v>0.05</v>
      </c>
      <c r="I15" s="11" t="n">
        <v>0.4</v>
      </c>
      <c r="J15" s="11" t="n">
        <v>0.005</v>
      </c>
      <c r="K15" s="11" t="n"/>
      <c r="L15" s="11" t="n"/>
      <c r="M15" s="12">
        <f>IF(OR(H15="",I15=""),"",(Profiles!$B$4*(Profiles!$B$10*H15+Profiles!$B$9*IF(J15="",H15,J15)+Profiles!$B$11*IF(K15="",H15,K15))+Profiles!$C$4*I15)/1000000+Profiles!$D$4*IF(L15="",0,L15))</f>
        <v/>
      </c>
      <c r="N15" s="12">
        <f>IF(OR(H15="",I15=""),"",(Profiles!$B$5*(Profiles!$B$10*H15+Profiles!$B$9*IF(J15="",H15,J15)+Profiles!$B$11*IF(K15="",H15,K15))+Profiles!$C$5*I15)/1000000+Profiles!$D$5*IF(L15="",0,L15))</f>
        <v/>
      </c>
      <c r="O15" s="12">
        <f>IF(OR(H15="",I15=""),"",(Profiles!$B$6*(Profiles!$B$10*H15+Profiles!$B$9*IF(J15="",H15,J15)+Profiles!$B$11*IF(K15="",H15,K15))+Profiles!$C$6*I15)/1000000+Profiles!$D$6*IF(L15="",0,L15))</f>
        <v/>
      </c>
      <c r="P15" s="12">
        <f>IF(OR(H15="",I15=""),"",(Profiles!$B$5*(Profiles!$B$10*H15+Profiles!$B$9*H15+Profiles!$B$11*H15)+Profiles!$C$5*I15)/1000000+Profiles!$D$5*IF(L15="",0,L15))</f>
        <v/>
      </c>
      <c r="Q15" t="inlineStr">
        <is>
          <t>2025-08-07</t>
        </is>
      </c>
    </row>
    <row r="16">
      <c r="A16" t="inlineStr">
        <is>
          <t>meta/muse-spark-1.3-contributor</t>
        </is>
      </c>
      <c r="B16" t="inlineStr">
        <is>
          <t>Meta: Muse Spark 1.3 Contributor</t>
        </is>
      </c>
      <c r="D16" t="inlineStr">
        <is>
          <t>yes</t>
        </is>
      </c>
      <c r="E16" t="inlineStr">
        <is>
          <t>yes</t>
        </is>
      </c>
      <c r="F16" s="10" t="n">
        <v>1048576</v>
      </c>
      <c r="H16" s="11" t="n">
        <v>0.09999999999999999</v>
      </c>
      <c r="I16" s="11" t="n">
        <v>0.2</v>
      </c>
      <c r="J16" s="11" t="n">
        <v>0.002</v>
      </c>
      <c r="K16" s="11" t="n"/>
      <c r="L16" s="11" t="n"/>
      <c r="M16" s="12">
        <f>IF(OR(H16="",I16=""),"",(Profiles!$B$4*(Profiles!$B$10*H16+Profiles!$B$9*IF(J16="",H16,J16)+Profiles!$B$11*IF(K16="",H16,K16))+Profiles!$C$4*I16)/1000000+Profiles!$D$4*IF(L16="",0,L16))</f>
        <v/>
      </c>
      <c r="N16" s="12">
        <f>IF(OR(H16="",I16=""),"",(Profiles!$B$5*(Profiles!$B$10*H16+Profiles!$B$9*IF(J16="",H16,J16)+Profiles!$B$11*IF(K16="",H16,K16))+Profiles!$C$5*I16)/1000000+Profiles!$D$5*IF(L16="",0,L16))</f>
        <v/>
      </c>
      <c r="O16" s="12">
        <f>IF(OR(H16="",I16=""),"",(Profiles!$B$6*(Profiles!$B$10*H16+Profiles!$B$9*IF(J16="",H16,J16)+Profiles!$B$11*IF(K16="",H16,K16))+Profiles!$C$6*I16)/1000000+Profiles!$D$6*IF(L16="",0,L16))</f>
        <v/>
      </c>
      <c r="P16" s="12">
        <f>IF(OR(H16="",I16=""),"",(Profiles!$B$5*(Profiles!$B$10*H16+Profiles!$B$9*H16+Profiles!$B$11*H16)+Profiles!$C$5*I16)/1000000+Profiles!$D$5*IF(L16="",0,L16))</f>
        <v/>
      </c>
      <c r="Q16" t="inlineStr">
        <is>
          <t>2026-09-02</t>
        </is>
      </c>
    </row>
    <row r="17">
      <c r="A17" t="inlineStr">
        <is>
          <t>meta/muse-spark-1.2-contributor</t>
        </is>
      </c>
      <c r="B17" t="inlineStr">
        <is>
          <t>Meta: Muse Spark 1.2 Contributor</t>
        </is>
      </c>
      <c r="D17" t="inlineStr">
        <is>
          <t>yes</t>
        </is>
      </c>
      <c r="E17" t="inlineStr">
        <is>
          <t>yes</t>
        </is>
      </c>
      <c r="F17" s="10" t="n">
        <v>1048576</v>
      </c>
      <c r="H17" s="11" t="n">
        <v>0.09999999999999999</v>
      </c>
      <c r="I17" s="11" t="n">
        <v>0.2</v>
      </c>
      <c r="J17" s="11" t="n">
        <v>0.002</v>
      </c>
      <c r="K17" s="11" t="n"/>
      <c r="L17" s="11" t="n"/>
      <c r="M17" s="12">
        <f>IF(OR(H17="",I17=""),"",(Profiles!$B$4*(Profiles!$B$10*H17+Profiles!$B$9*IF(J17="",H17,J17)+Profiles!$B$11*IF(K17="",H17,K17))+Profiles!$C$4*I17)/1000000+Profiles!$D$4*IF(L17="",0,L17))</f>
        <v/>
      </c>
      <c r="N17" s="12">
        <f>IF(OR(H17="",I17=""),"",(Profiles!$B$5*(Profiles!$B$10*H17+Profiles!$B$9*IF(J17="",H17,J17)+Profiles!$B$11*IF(K17="",H17,K17))+Profiles!$C$5*I17)/1000000+Profiles!$D$5*IF(L17="",0,L17))</f>
        <v/>
      </c>
      <c r="O17" s="12">
        <f>IF(OR(H17="",I17=""),"",(Profiles!$B$6*(Profiles!$B$10*H17+Profiles!$B$9*IF(J17="",H17,J17)+Profiles!$B$11*IF(K17="",H17,K17))+Profiles!$C$6*I17)/1000000+Profiles!$D$6*IF(L17="",0,L17))</f>
        <v/>
      </c>
      <c r="P17" s="12">
        <f>IF(OR(H17="",I17=""),"",(Profiles!$B$5*(Profiles!$B$10*H17+Profiles!$B$9*H17+Profiles!$B$11*H17)+Profiles!$C$5*I17)/1000000+Profiles!$D$5*IF(L17="",0,L17))</f>
        <v/>
      </c>
      <c r="Q17" t="inlineStr">
        <is>
          <t>2026-08-21</t>
        </is>
      </c>
    </row>
    <row r="18">
      <c r="A18" t="inlineStr">
        <is>
          <t>~z-ai/glm-flash-latest</t>
        </is>
      </c>
      <c r="B18" t="inlineStr">
        <is>
          <t>Z.ai: GLM Flash Latest</t>
        </is>
      </c>
      <c r="D18" t="inlineStr">
        <is>
          <t>yes</t>
        </is>
      </c>
      <c r="E18" t="inlineStr">
        <is>
          <t>yes</t>
        </is>
      </c>
      <c r="F18" s="10" t="n">
        <v>1310720</v>
      </c>
      <c r="G18" t="inlineStr">
        <is>
          <t>alias (latest)</t>
        </is>
      </c>
      <c r="H18" s="11" t="n">
        <v>0.045</v>
      </c>
      <c r="I18" s="11" t="n">
        <v>0.14</v>
      </c>
      <c r="J18" s="11" t="n">
        <v>0.01</v>
      </c>
      <c r="K18" s="11" t="n"/>
      <c r="L18" s="11" t="n"/>
      <c r="M18" s="12">
        <f>IF(OR(H18="",I18=""),"",(Profiles!$B$4*(Profiles!$B$10*H18+Profiles!$B$9*IF(J18="",H18,J18)+Profiles!$B$11*IF(K18="",H18,K18))+Profiles!$C$4*I18)/1000000+Profiles!$D$4*IF(L18="",0,L18))</f>
        <v/>
      </c>
      <c r="N18" s="12">
        <f>IF(OR(H18="",I18=""),"",(Profiles!$B$5*(Profiles!$B$10*H18+Profiles!$B$9*IF(J18="",H18,J18)+Profiles!$B$11*IF(K18="",H18,K18))+Profiles!$C$5*I18)/1000000+Profiles!$D$5*IF(L18="",0,L18))</f>
        <v/>
      </c>
      <c r="O18" s="12">
        <f>IF(OR(H18="",I18=""),"",(Profiles!$B$6*(Profiles!$B$10*H18+Profiles!$B$9*IF(J18="",H18,J18)+Profiles!$B$11*IF(K18="",H18,K18))+Profiles!$C$6*I18)/1000000+Profiles!$D$6*IF(L18="",0,L18))</f>
        <v/>
      </c>
      <c r="P18" s="12">
        <f>IF(OR(H18="",I18=""),"",(Profiles!$B$5*(Profiles!$B$10*H18+Profiles!$B$9*H18+Profiles!$B$11*H18)+Profiles!$C$5*I18)/1000000+Profiles!$D$5*IF(L18="",0,L18))</f>
        <v/>
      </c>
      <c r="Q18" t="inlineStr">
        <is>
          <t>2026-08-27</t>
        </is>
      </c>
    </row>
    <row r="19">
      <c r="A19" t="inlineStr">
        <is>
          <t>xiaomi/mimo-v2.6-flash</t>
        </is>
      </c>
      <c r="B19" t="inlineStr">
        <is>
          <t>Xiaomi: MiMo-V2.6-Flash</t>
        </is>
      </c>
      <c r="D19" t="inlineStr">
        <is>
          <t>yes</t>
        </is>
      </c>
      <c r="E19" t="inlineStr">
        <is>
          <t>yes</t>
        </is>
      </c>
      <c r="F19" s="10" t="n">
        <v>1048576</v>
      </c>
      <c r="H19" s="11" t="n">
        <v>0.14</v>
      </c>
      <c r="I19" s="11" t="n">
        <v>0.28</v>
      </c>
      <c r="J19" s="11" t="n">
        <v>0.0028</v>
      </c>
      <c r="K19" s="11" t="n"/>
      <c r="L19" s="11" t="n"/>
      <c r="M19" s="12">
        <f>IF(OR(H19="",I19=""),"",(Profiles!$B$4*(Profiles!$B$10*H19+Profiles!$B$9*IF(J19="",H19,J19)+Profiles!$B$11*IF(K19="",H19,K19))+Profiles!$C$4*I19)/1000000+Profiles!$D$4*IF(L19="",0,L19))</f>
        <v/>
      </c>
      <c r="N19" s="12">
        <f>IF(OR(H19="",I19=""),"",(Profiles!$B$5*(Profiles!$B$10*H19+Profiles!$B$9*IF(J19="",H19,J19)+Profiles!$B$11*IF(K19="",H19,K19))+Profiles!$C$5*I19)/1000000+Profiles!$D$5*IF(L19="",0,L19))</f>
        <v/>
      </c>
      <c r="O19" s="12">
        <f>IF(OR(H19="",I19=""),"",(Profiles!$B$6*(Profiles!$B$10*H19+Profiles!$B$9*IF(J19="",H19,J19)+Profiles!$B$11*IF(K19="",H19,K19))+Profiles!$C$6*I19)/1000000+Profiles!$D$6*IF(L19="",0,L19))</f>
        <v/>
      </c>
      <c r="P19" s="12">
        <f>IF(OR(H19="",I19=""),"",(Profiles!$B$5*(Profiles!$B$10*H19+Profiles!$B$9*H19+Profiles!$B$11*H19)+Profiles!$C$5*I19)/1000000+Profiles!$D$5*IF(L19="",0,L19))</f>
        <v/>
      </c>
      <c r="Q19" t="inlineStr">
        <is>
          <t>2026-09-21</t>
        </is>
      </c>
    </row>
    <row r="20">
      <c r="A20" t="inlineStr">
        <is>
          <t>xiaomi/mimo-v2.5</t>
        </is>
      </c>
      <c r="B20" t="inlineStr">
        <is>
          <t>Xiaomi: MiMo-V2.5</t>
        </is>
      </c>
      <c r="D20" t="inlineStr">
        <is>
          <t>yes</t>
        </is>
      </c>
      <c r="E20" t="inlineStr">
        <is>
          <t>yes</t>
        </is>
      </c>
      <c r="F20" s="10" t="n">
        <v>1050000</v>
      </c>
      <c r="H20" s="11" t="n">
        <v>0.14</v>
      </c>
      <c r="I20" s="11" t="n">
        <v>0.28</v>
      </c>
      <c r="J20" s="11" t="n">
        <v>0.0028</v>
      </c>
      <c r="K20" s="11" t="n"/>
      <c r="L20" s="11" t="n"/>
      <c r="M20" s="12">
        <f>IF(OR(H20="",I20=""),"",(Profiles!$B$4*(Profiles!$B$10*H20+Profiles!$B$9*IF(J20="",H20,J20)+Profiles!$B$11*IF(K20="",H20,K20))+Profiles!$C$4*I20)/1000000+Profiles!$D$4*IF(L20="",0,L20))</f>
        <v/>
      </c>
      <c r="N20" s="12">
        <f>IF(OR(H20="",I20=""),"",(Profiles!$B$5*(Profiles!$B$10*H20+Profiles!$B$9*IF(J20="",H20,J20)+Profiles!$B$11*IF(K20="",H20,K20))+Profiles!$C$5*I20)/1000000+Profiles!$D$5*IF(L20="",0,L20))</f>
        <v/>
      </c>
      <c r="O20" s="12">
        <f>IF(OR(H20="",I20=""),"",(Profiles!$B$6*(Profiles!$B$10*H20+Profiles!$B$9*IF(J20="",H20,J20)+Profiles!$B$11*IF(K20="",H20,K20))+Profiles!$C$6*I20)/1000000+Profiles!$D$6*IF(L20="",0,L20))</f>
        <v/>
      </c>
      <c r="P20" s="12">
        <f>IF(OR(H20="",I20=""),"",(Profiles!$B$5*(Profiles!$B$10*H20+Profiles!$B$9*H20+Profiles!$B$11*H20)+Profiles!$C$5*I20)/1000000+Profiles!$D$5*IF(L20="",0,L20))</f>
        <v/>
      </c>
      <c r="Q20" t="inlineStr">
        <is>
          <t>2026-04-22</t>
        </is>
      </c>
    </row>
    <row r="21">
      <c r="A21" t="inlineStr">
        <is>
          <t>mistralai/ministral-3b-2512</t>
        </is>
      </c>
      <c r="B21" t="inlineStr">
        <is>
          <t>Mistral: Ministral 3 3B 2512</t>
        </is>
      </c>
      <c r="D21" t="inlineStr">
        <is>
          <t>yes</t>
        </is>
      </c>
      <c r="E21" t="inlineStr">
        <is>
          <t>yes</t>
        </is>
      </c>
      <c r="F21" s="10" t="n">
        <v>131072</v>
      </c>
      <c r="H21" s="11" t="n">
        <v>0.09999999999999999</v>
      </c>
      <c r="I21" s="11" t="n">
        <v>0.09999999999999999</v>
      </c>
      <c r="J21" s="11" t="n">
        <v>0.01</v>
      </c>
      <c r="K21" s="11" t="n"/>
      <c r="L21" s="11" t="n"/>
      <c r="M21" s="12">
        <f>IF(OR(H21="",I21=""),"",(Profiles!$B$4*(Profiles!$B$10*H21+Profiles!$B$9*IF(J21="",H21,J21)+Profiles!$B$11*IF(K21="",H21,K21))+Profiles!$C$4*I21)/1000000+Profiles!$D$4*IF(L21="",0,L21))</f>
        <v/>
      </c>
      <c r="N21" s="12">
        <f>IF(OR(H21="",I21=""),"",(Profiles!$B$5*(Profiles!$B$10*H21+Profiles!$B$9*IF(J21="",H21,J21)+Profiles!$B$11*IF(K21="",H21,K21))+Profiles!$C$5*I21)/1000000+Profiles!$D$5*IF(L21="",0,L21))</f>
        <v/>
      </c>
      <c r="O21" s="12">
        <f>IF(OR(H21="",I21=""),"",(Profiles!$B$6*(Profiles!$B$10*H21+Profiles!$B$9*IF(J21="",H21,J21)+Profiles!$B$11*IF(K21="",H21,K21))+Profiles!$C$6*I21)/1000000+Profiles!$D$6*IF(L21="",0,L21))</f>
        <v/>
      </c>
      <c r="P21" s="12">
        <f>IF(OR(H21="",I21=""),"",(Profiles!$B$5*(Profiles!$B$10*H21+Profiles!$B$9*H21+Profiles!$B$11*H21)+Profiles!$C$5*I21)/1000000+Profiles!$D$5*IF(L21="",0,L21))</f>
        <v/>
      </c>
      <c r="Q21" t="inlineStr">
        <is>
          <t>2025-12-02</t>
        </is>
      </c>
    </row>
    <row r="22">
      <c r="A22" t="inlineStr">
        <is>
          <t>google/gemini-2.5-flash-lite</t>
        </is>
      </c>
      <c r="B22" t="inlineStr">
        <is>
          <t>Google: Gemini 2.5 Flash Lite</t>
        </is>
      </c>
      <c r="D22" t="inlineStr">
        <is>
          <t>yes</t>
        </is>
      </c>
      <c r="E22" t="inlineStr">
        <is>
          <t>yes</t>
        </is>
      </c>
      <c r="F22" s="10" t="n">
        <v>1048576</v>
      </c>
      <c r="H22" s="11" t="n">
        <v>0.09999999999999999</v>
      </c>
      <c r="I22" s="11" t="n">
        <v>0.4</v>
      </c>
      <c r="J22" s="11" t="n">
        <v>0.01</v>
      </c>
      <c r="K22" s="11" t="n">
        <v>0.0833333333333333</v>
      </c>
      <c r="L22" s="11" t="n">
        <v>1e-07</v>
      </c>
      <c r="M22" s="12">
        <f>IF(OR(H22="",I22=""),"",(Profiles!$B$4*(Profiles!$B$10*H22+Profiles!$B$9*IF(J22="",H22,J22)+Profiles!$B$11*IF(K22="",H22,K22))+Profiles!$C$4*I22)/1000000+Profiles!$D$4*IF(L22="",0,L22))</f>
        <v/>
      </c>
      <c r="N22" s="12">
        <f>IF(OR(H22="",I22=""),"",(Profiles!$B$5*(Profiles!$B$10*H22+Profiles!$B$9*IF(J22="",H22,J22)+Profiles!$B$11*IF(K22="",H22,K22))+Profiles!$C$5*I22)/1000000+Profiles!$D$5*IF(L22="",0,L22))</f>
        <v/>
      </c>
      <c r="O22" s="12">
        <f>IF(OR(H22="",I22=""),"",(Profiles!$B$6*(Profiles!$B$10*H22+Profiles!$B$9*IF(J22="",H22,J22)+Profiles!$B$11*IF(K22="",H22,K22))+Profiles!$C$6*I22)/1000000+Profiles!$D$6*IF(L22="",0,L22))</f>
        <v/>
      </c>
      <c r="P22" s="12">
        <f>IF(OR(H22="",I22=""),"",(Profiles!$B$5*(Profiles!$B$10*H22+Profiles!$B$9*H22+Profiles!$B$11*H22)+Profiles!$C$5*I22)/1000000+Profiles!$D$5*IF(L22="",0,L22))</f>
        <v/>
      </c>
      <c r="Q22" t="inlineStr">
        <is>
          <t>2025-07-22</t>
        </is>
      </c>
      <c r="R22" t="inlineStr">
        <is>
          <t>2026-10-20</t>
        </is>
      </c>
    </row>
    <row r="23">
      <c r="A23" t="inlineStr">
        <is>
          <t>openai/gpt-6-luna-pro</t>
        </is>
      </c>
      <c r="B23" t="inlineStr">
        <is>
          <t>OpenAI: GPT-6 Luna Pro</t>
        </is>
      </c>
      <c r="D23" t="inlineStr">
        <is>
          <t>yes</t>
        </is>
      </c>
      <c r="E23" t="inlineStr">
        <is>
          <t>yes</t>
        </is>
      </c>
      <c r="F23" s="10" t="n">
        <v>1050000</v>
      </c>
      <c r="H23" s="11" t="n">
        <v>0.09999999999999999</v>
      </c>
      <c r="I23" s="11" t="n">
        <v>0.5</v>
      </c>
      <c r="J23" s="11" t="n">
        <v>0.01</v>
      </c>
      <c r="K23" s="11" t="n">
        <v>0.125</v>
      </c>
      <c r="L23" s="11" t="n"/>
      <c r="M23" s="12">
        <f>IF(OR(H23="",I23=""),"",(Profiles!$B$4*(Profiles!$B$10*H23+Profiles!$B$9*IF(J23="",H23,J23)+Profiles!$B$11*IF(K23="",H23,K23))+Profiles!$C$4*I23)/1000000+Profiles!$D$4*IF(L23="",0,L23))</f>
        <v/>
      </c>
      <c r="N23" s="12">
        <f>IF(OR(H23="",I23=""),"",(Profiles!$B$5*(Profiles!$B$10*H23+Profiles!$B$9*IF(J23="",H23,J23)+Profiles!$B$11*IF(K23="",H23,K23))+Profiles!$C$5*I23)/1000000+Profiles!$D$5*IF(L23="",0,L23))</f>
        <v/>
      </c>
      <c r="O23" s="12">
        <f>IF(OR(H23="",I23=""),"",(Profiles!$B$6*(Profiles!$B$10*H23+Profiles!$B$9*IF(J23="",H23,J23)+Profiles!$B$11*IF(K23="",H23,K23))+Profiles!$C$6*I23)/1000000+Profiles!$D$6*IF(L23="",0,L23))</f>
        <v/>
      </c>
      <c r="P23" s="12">
        <f>IF(OR(H23="",I23=""),"",(Profiles!$B$5*(Profiles!$B$10*H23+Profiles!$B$9*H23+Profiles!$B$11*H23)+Profiles!$C$5*I23)/1000000+Profiles!$D$5*IF(L23="",0,L23))</f>
        <v/>
      </c>
      <c r="Q23" t="inlineStr">
        <is>
          <t>2026-09-22</t>
        </is>
      </c>
    </row>
    <row r="24">
      <c r="A24" s="6" t="inlineStr">
        <is>
          <t>openai/gpt-6-luna</t>
        </is>
      </c>
      <c r="B24" s="6" t="inlineStr">
        <is>
          <t>OpenAI: GPT-6 Luna</t>
        </is>
      </c>
      <c r="C24" s="6" t="inlineStr">
        <is>
          <t>r19 (via ChatGPT subscription)</t>
        </is>
      </c>
      <c r="D24" s="6" t="inlineStr">
        <is>
          <t>yes</t>
        </is>
      </c>
      <c r="E24" s="6" t="inlineStr">
        <is>
          <t>yes</t>
        </is>
      </c>
      <c r="F24" s="7" t="n">
        <v>1050000</v>
      </c>
      <c r="G24" s="6" t="inlineStr"/>
      <c r="H24" s="8" t="n">
        <v>0.09999999999999999</v>
      </c>
      <c r="I24" s="8" t="n">
        <v>0.5</v>
      </c>
      <c r="J24" s="8" t="n">
        <v>0.01</v>
      </c>
      <c r="K24" s="8" t="n">
        <v>0.125</v>
      </c>
      <c r="L24" s="8" t="n"/>
      <c r="M24" s="9">
        <f>IF(OR(H24="",I24=""),"",(Profiles!$B$4*(Profiles!$B$10*H24+Profiles!$B$9*IF(J24="",H24,J24)+Profiles!$B$11*IF(K24="",H24,K24))+Profiles!$C$4*I24)/1000000+Profiles!$D$4*IF(L24="",0,L24))</f>
        <v/>
      </c>
      <c r="N24" s="9">
        <f>IF(OR(H24="",I24=""),"",(Profiles!$B$5*(Profiles!$B$10*H24+Profiles!$B$9*IF(J24="",H24,J24)+Profiles!$B$11*IF(K24="",H24,K24))+Profiles!$C$5*I24)/1000000+Profiles!$D$5*IF(L24="",0,L24))</f>
        <v/>
      </c>
      <c r="O24" s="9">
        <f>IF(OR(H24="",I24=""),"",(Profiles!$B$6*(Profiles!$B$10*H24+Profiles!$B$9*IF(J24="",H24,J24)+Profiles!$B$11*IF(K24="",H24,K24))+Profiles!$C$6*I24)/1000000+Profiles!$D$6*IF(L24="",0,L24))</f>
        <v/>
      </c>
      <c r="P24" s="9">
        <f>IF(OR(H24="",I24=""),"",(Profiles!$B$5*(Profiles!$B$10*H24+Profiles!$B$9*H24+Profiles!$B$11*H24)+Profiles!$C$5*I24)/1000000+Profiles!$D$5*IF(L24="",0,L24))</f>
        <v/>
      </c>
      <c r="Q24" s="6" t="inlineStr">
        <is>
          <t>2026-09-22</t>
        </is>
      </c>
      <c r="R24" s="6" t="inlineStr"/>
    </row>
    <row r="25">
      <c r="A25" t="inlineStr">
        <is>
          <t>~openai/gpt-luna-latest</t>
        </is>
      </c>
      <c r="B25" t="inlineStr">
        <is>
          <t>OpenAI: GPT Luna Latest</t>
        </is>
      </c>
      <c r="D25" t="inlineStr">
        <is>
          <t>yes</t>
        </is>
      </c>
      <c r="E25" t="inlineStr">
        <is>
          <t>yes</t>
        </is>
      </c>
      <c r="F25" s="10" t="n">
        <v>1050000</v>
      </c>
      <c r="G25" t="inlineStr">
        <is>
          <t>alias (latest)</t>
        </is>
      </c>
      <c r="H25" s="11" t="n">
        <v>0.09999999999999999</v>
      </c>
      <c r="I25" s="11" t="n">
        <v>0.5</v>
      </c>
      <c r="J25" s="11" t="n">
        <v>0.01</v>
      </c>
      <c r="K25" s="11" t="n">
        <v>0.125</v>
      </c>
      <c r="L25" s="11" t="n"/>
      <c r="M25" s="12">
        <f>IF(OR(H25="",I25=""),"",(Profiles!$B$4*(Profiles!$B$10*H25+Profiles!$B$9*IF(J25="",H25,J25)+Profiles!$B$11*IF(K25="",H25,K25))+Profiles!$C$4*I25)/1000000+Profiles!$D$4*IF(L25="",0,L25))</f>
        <v/>
      </c>
      <c r="N25" s="12">
        <f>IF(OR(H25="",I25=""),"",(Profiles!$B$5*(Profiles!$B$10*H25+Profiles!$B$9*IF(J25="",H25,J25)+Profiles!$B$11*IF(K25="",H25,K25))+Profiles!$C$5*I25)/1000000+Profiles!$D$5*IF(L25="",0,L25))</f>
        <v/>
      </c>
      <c r="O25" s="12">
        <f>IF(OR(H25="",I25=""),"",(Profiles!$B$6*(Profiles!$B$10*H25+Profiles!$B$9*IF(J25="",H25,J25)+Profiles!$B$11*IF(K25="",H25,K25))+Profiles!$C$6*I25)/1000000+Profiles!$D$6*IF(L25="",0,L25))</f>
        <v/>
      </c>
      <c r="P25" s="12">
        <f>IF(OR(H25="",I25=""),"",(Profiles!$B$5*(Profiles!$B$10*H25+Profiles!$B$9*H25+Profiles!$B$11*H25)+Profiles!$C$5*I25)/1000000+Profiles!$D$5*IF(L25="",0,L25))</f>
        <v/>
      </c>
      <c r="Q25" t="inlineStr">
        <is>
          <t>2026-09-11</t>
        </is>
      </c>
    </row>
    <row r="26">
      <c r="A26" t="inlineStr">
        <is>
          <t>mistralai/ministral-8b-2512</t>
        </is>
      </c>
      <c r="B26" t="inlineStr">
        <is>
          <t>Mistral: Ministral 3 8B 2512</t>
        </is>
      </c>
      <c r="D26" t="inlineStr">
        <is>
          <t>yes</t>
        </is>
      </c>
      <c r="E26" t="inlineStr">
        <is>
          <t>yes</t>
        </is>
      </c>
      <c r="F26" s="10" t="n">
        <v>262144</v>
      </c>
      <c r="H26" s="11" t="n">
        <v>0.15</v>
      </c>
      <c r="I26" s="11" t="n">
        <v>0.15</v>
      </c>
      <c r="J26" s="11" t="n">
        <v>0.015</v>
      </c>
      <c r="K26" s="11" t="n"/>
      <c r="L26" s="11" t="n"/>
      <c r="M26" s="12">
        <f>IF(OR(H26="",I26=""),"",(Profiles!$B$4*(Profiles!$B$10*H26+Profiles!$B$9*IF(J26="",H26,J26)+Profiles!$B$11*IF(K26="",H26,K26))+Profiles!$C$4*I26)/1000000+Profiles!$D$4*IF(L26="",0,L26))</f>
        <v/>
      </c>
      <c r="N26" s="12">
        <f>IF(OR(H26="",I26=""),"",(Profiles!$B$5*(Profiles!$B$10*H26+Profiles!$B$9*IF(J26="",H26,J26)+Profiles!$B$11*IF(K26="",H26,K26))+Profiles!$C$5*I26)/1000000+Profiles!$D$5*IF(L26="",0,L26))</f>
        <v/>
      </c>
      <c r="O26" s="12">
        <f>IF(OR(H26="",I26=""),"",(Profiles!$B$6*(Profiles!$B$10*H26+Profiles!$B$9*IF(J26="",H26,J26)+Profiles!$B$11*IF(K26="",H26,K26))+Profiles!$C$6*I26)/1000000+Profiles!$D$6*IF(L26="",0,L26))</f>
        <v/>
      </c>
      <c r="P26" s="12">
        <f>IF(OR(H26="",I26=""),"",(Profiles!$B$5*(Profiles!$B$10*H26+Profiles!$B$9*H26+Profiles!$B$11*H26)+Profiles!$C$5*I26)/1000000+Profiles!$D$5*IF(L26="",0,L26))</f>
        <v/>
      </c>
      <c r="Q26" t="inlineStr">
        <is>
          <t>2025-12-02</t>
        </is>
      </c>
    </row>
    <row r="27">
      <c r="A27" t="inlineStr">
        <is>
          <t>mistralai/mistral-small-2603</t>
        </is>
      </c>
      <c r="B27" t="inlineStr">
        <is>
          <t>Mistral: Mistral Small 4</t>
        </is>
      </c>
      <c r="D27" t="inlineStr">
        <is>
          <t>yes</t>
        </is>
      </c>
      <c r="E27" t="inlineStr">
        <is>
          <t>yes</t>
        </is>
      </c>
      <c r="F27" s="10" t="n">
        <v>262144</v>
      </c>
      <c r="H27" s="11" t="n">
        <v>0.15</v>
      </c>
      <c r="I27" s="11" t="n">
        <v>0.6</v>
      </c>
      <c r="J27" s="11" t="n">
        <v>0.015</v>
      </c>
      <c r="K27" s="11" t="n"/>
      <c r="L27" s="11" t="n"/>
      <c r="M27" s="12">
        <f>IF(OR(H27="",I27=""),"",(Profiles!$B$4*(Profiles!$B$10*H27+Profiles!$B$9*IF(J27="",H27,J27)+Profiles!$B$11*IF(K27="",H27,K27))+Profiles!$C$4*I27)/1000000+Profiles!$D$4*IF(L27="",0,L27))</f>
        <v/>
      </c>
      <c r="N27" s="12">
        <f>IF(OR(H27="",I27=""),"",(Profiles!$B$5*(Profiles!$B$10*H27+Profiles!$B$9*IF(J27="",H27,J27)+Profiles!$B$11*IF(K27="",H27,K27))+Profiles!$C$5*I27)/1000000+Profiles!$D$5*IF(L27="",0,L27))</f>
        <v/>
      </c>
      <c r="O27" s="12">
        <f>IF(OR(H27="",I27=""),"",(Profiles!$B$6*(Profiles!$B$10*H27+Profiles!$B$9*IF(J27="",H27,J27)+Profiles!$B$11*IF(K27="",H27,K27))+Profiles!$C$6*I27)/1000000+Profiles!$D$6*IF(L27="",0,L27))</f>
        <v/>
      </c>
      <c r="P27" s="12">
        <f>IF(OR(H27="",I27=""),"",(Profiles!$B$5*(Profiles!$B$10*H27+Profiles!$B$9*H27+Profiles!$B$11*H27)+Profiles!$C$5*I27)/1000000+Profiles!$D$5*IF(L27="",0,L27))</f>
        <v/>
      </c>
      <c r="Q27" t="inlineStr">
        <is>
          <t>2026-03-16</t>
        </is>
      </c>
    </row>
    <row r="28">
      <c r="A28" t="inlineStr">
        <is>
          <t>qwen/qwen3.8-omni-flash</t>
        </is>
      </c>
      <c r="B28" t="inlineStr">
        <is>
          <t>Qwen: Qwen3.8 Omni Flash</t>
        </is>
      </c>
      <c r="D28" t="inlineStr">
        <is>
          <t>yes</t>
        </is>
      </c>
      <c r="E28" t="inlineStr">
        <is>
          <t>yes</t>
        </is>
      </c>
      <c r="F28" s="10" t="n">
        <v>1000000</v>
      </c>
      <c r="H28" s="11" t="n">
        <v>0.15</v>
      </c>
      <c r="I28" s="11" t="n">
        <v>0.47</v>
      </c>
      <c r="J28" s="11" t="n">
        <v>0.016</v>
      </c>
      <c r="K28" s="11" t="n"/>
      <c r="L28" s="11" t="n"/>
      <c r="M28" s="12">
        <f>IF(OR(H28="",I28=""),"",(Profiles!$B$4*(Profiles!$B$10*H28+Profiles!$B$9*IF(J28="",H28,J28)+Profiles!$B$11*IF(K28="",H28,K28))+Profiles!$C$4*I28)/1000000+Profiles!$D$4*IF(L28="",0,L28))</f>
        <v/>
      </c>
      <c r="N28" s="12">
        <f>IF(OR(H28="",I28=""),"",(Profiles!$B$5*(Profiles!$B$10*H28+Profiles!$B$9*IF(J28="",H28,J28)+Profiles!$B$11*IF(K28="",H28,K28))+Profiles!$C$5*I28)/1000000+Profiles!$D$5*IF(L28="",0,L28))</f>
        <v/>
      </c>
      <c r="O28" s="12">
        <f>IF(OR(H28="",I28=""),"",(Profiles!$B$6*(Profiles!$B$10*H28+Profiles!$B$9*IF(J28="",H28,J28)+Profiles!$B$11*IF(K28="",H28,K28))+Profiles!$C$6*I28)/1000000+Profiles!$D$6*IF(L28="",0,L28))</f>
        <v/>
      </c>
      <c r="P28" s="12">
        <f>IF(OR(H28="",I28=""),"",(Profiles!$B$5*(Profiles!$B$10*H28+Profiles!$B$9*H28+Profiles!$B$11*H28)+Profiles!$C$5*I28)/1000000+Profiles!$D$5*IF(L28="",0,L28))</f>
        <v/>
      </c>
      <c r="Q28" t="inlineStr">
        <is>
          <t>2026-09-21</t>
        </is>
      </c>
    </row>
    <row r="29">
      <c r="A29" t="inlineStr">
        <is>
          <t>qwen/qwen3.8-flash</t>
        </is>
      </c>
      <c r="B29" t="inlineStr">
        <is>
          <t>Qwen: Qwen3.8 Flash</t>
        </is>
      </c>
      <c r="D29" t="inlineStr">
        <is>
          <t>yes</t>
        </is>
      </c>
      <c r="E29" t="inlineStr">
        <is>
          <t>yes</t>
        </is>
      </c>
      <c r="F29" s="10" t="n">
        <v>1000000</v>
      </c>
      <c r="H29" s="11" t="n">
        <v>0.15</v>
      </c>
      <c r="I29" s="11" t="n">
        <v>0.47</v>
      </c>
      <c r="J29" s="11" t="n">
        <v>0.016</v>
      </c>
      <c r="K29" s="11" t="n">
        <v>0.2</v>
      </c>
      <c r="L29" s="11" t="n"/>
      <c r="M29" s="12">
        <f>IF(OR(H29="",I29=""),"",(Profiles!$B$4*(Profiles!$B$10*H29+Profiles!$B$9*IF(J29="",H29,J29)+Profiles!$B$11*IF(K29="",H29,K29))+Profiles!$C$4*I29)/1000000+Profiles!$D$4*IF(L29="",0,L29))</f>
        <v/>
      </c>
      <c r="N29" s="12">
        <f>IF(OR(H29="",I29=""),"",(Profiles!$B$5*(Profiles!$B$10*H29+Profiles!$B$9*IF(J29="",H29,J29)+Profiles!$B$11*IF(K29="",H29,K29))+Profiles!$C$5*I29)/1000000+Profiles!$D$5*IF(L29="",0,L29))</f>
        <v/>
      </c>
      <c r="O29" s="12">
        <f>IF(OR(H29="",I29=""),"",(Profiles!$B$6*(Profiles!$B$10*H29+Profiles!$B$9*IF(J29="",H29,J29)+Profiles!$B$11*IF(K29="",H29,K29))+Profiles!$C$6*I29)/1000000+Profiles!$D$6*IF(L29="",0,L29))</f>
        <v/>
      </c>
      <c r="P29" s="12">
        <f>IF(OR(H29="",I29=""),"",(Profiles!$B$5*(Profiles!$B$10*H29+Profiles!$B$9*H29+Profiles!$B$11*H29)+Profiles!$C$5*I29)/1000000+Profiles!$D$5*IF(L29="",0,L29))</f>
        <v/>
      </c>
      <c r="Q29" t="inlineStr">
        <is>
          <t>2026-08-26</t>
        </is>
      </c>
    </row>
    <row r="30">
      <c r="A30" t="inlineStr">
        <is>
          <t>openai/gpt-4.1-nano</t>
        </is>
      </c>
      <c r="B30" t="inlineStr">
        <is>
          <t>OpenAI: GPT-4.1 Nano</t>
        </is>
      </c>
      <c r="D30" t="inlineStr">
        <is>
          <t>yes</t>
        </is>
      </c>
      <c r="E30" t="inlineStr">
        <is>
          <t>yes</t>
        </is>
      </c>
      <c r="F30" s="10" t="n">
        <v>1047576</v>
      </c>
      <c r="H30" s="11" t="n">
        <v>0.09999999999999999</v>
      </c>
      <c r="I30" s="11" t="n">
        <v>0.4</v>
      </c>
      <c r="J30" s="11" t="n">
        <v>0.025</v>
      </c>
      <c r="K30" s="11" t="n"/>
      <c r="L30" s="11" t="n"/>
      <c r="M30" s="12">
        <f>IF(OR(H30="",I30=""),"",(Profiles!$B$4*(Profiles!$B$10*H30+Profiles!$B$9*IF(J30="",H30,J30)+Profiles!$B$11*IF(K30="",H30,K30))+Profiles!$C$4*I30)/1000000+Profiles!$D$4*IF(L30="",0,L30))</f>
        <v/>
      </c>
      <c r="N30" s="12">
        <f>IF(OR(H30="",I30=""),"",(Profiles!$B$5*(Profiles!$B$10*H30+Profiles!$B$9*IF(J30="",H30,J30)+Profiles!$B$11*IF(K30="",H30,K30))+Profiles!$C$5*I30)/1000000+Profiles!$D$5*IF(L30="",0,L30))</f>
        <v/>
      </c>
      <c r="O30" s="12">
        <f>IF(OR(H30="",I30=""),"",(Profiles!$B$6*(Profiles!$B$10*H30+Profiles!$B$9*IF(J30="",H30,J30)+Profiles!$B$11*IF(K30="",H30,K30))+Profiles!$C$6*I30)/1000000+Profiles!$D$6*IF(L30="",0,L30))</f>
        <v/>
      </c>
      <c r="P30" s="12">
        <f>IF(OR(H30="",I30=""),"",(Profiles!$B$5*(Profiles!$B$10*H30+Profiles!$B$9*H30+Profiles!$B$11*H30)+Profiles!$C$5*I30)/1000000+Profiles!$D$5*IF(L30="",0,L30))</f>
        <v/>
      </c>
      <c r="Q30" t="inlineStr">
        <is>
          <t>2025-04-14</t>
        </is>
      </c>
    </row>
    <row r="31">
      <c r="A31" t="inlineStr">
        <is>
          <t>mistralai/ministral-14b-2512</t>
        </is>
      </c>
      <c r="B31" t="inlineStr">
        <is>
          <t>Mistral: Ministral 3 14B 2512</t>
        </is>
      </c>
      <c r="D31" t="inlineStr">
        <is>
          <t>yes</t>
        </is>
      </c>
      <c r="E31" t="inlineStr">
        <is>
          <t>yes</t>
        </is>
      </c>
      <c r="F31" s="10" t="n">
        <v>262144</v>
      </c>
      <c r="H31" s="11" t="n">
        <v>0.2</v>
      </c>
      <c r="I31" s="11" t="n">
        <v>0.2</v>
      </c>
      <c r="J31" s="11" t="n">
        <v>0.02</v>
      </c>
      <c r="K31" s="11" t="n"/>
      <c r="L31" s="11" t="n"/>
      <c r="M31" s="12">
        <f>IF(OR(H31="",I31=""),"",(Profiles!$B$4*(Profiles!$B$10*H31+Profiles!$B$9*IF(J31="",H31,J31)+Profiles!$B$11*IF(K31="",H31,K31))+Profiles!$C$4*I31)/1000000+Profiles!$D$4*IF(L31="",0,L31))</f>
        <v/>
      </c>
      <c r="N31" s="12">
        <f>IF(OR(H31="",I31=""),"",(Profiles!$B$5*(Profiles!$B$10*H31+Profiles!$B$9*IF(J31="",H31,J31)+Profiles!$B$11*IF(K31="",H31,K31))+Profiles!$C$5*I31)/1000000+Profiles!$D$5*IF(L31="",0,L31))</f>
        <v/>
      </c>
      <c r="O31" s="12">
        <f>IF(OR(H31="",I31=""),"",(Profiles!$B$6*(Profiles!$B$10*H31+Profiles!$B$9*IF(J31="",H31,J31)+Profiles!$B$11*IF(K31="",H31,K31))+Profiles!$C$6*I31)/1000000+Profiles!$D$6*IF(L31="",0,L31))</f>
        <v/>
      </c>
      <c r="P31" s="12">
        <f>IF(OR(H31="",I31=""),"",(Profiles!$B$5*(Profiles!$B$10*H31+Profiles!$B$9*H31+Profiles!$B$11*H31)+Profiles!$C$5*I31)/1000000+Profiles!$D$5*IF(L31="",0,L31))</f>
        <v/>
      </c>
      <c r="Q31" t="inlineStr">
        <is>
          <t>2025-12-02</t>
        </is>
      </c>
    </row>
    <row r="32">
      <c r="A32" s="6" t="inlineStr">
        <is>
          <t>z-ai/glm-5.3-flash</t>
        </is>
      </c>
      <c r="B32" s="6" t="inlineStr">
        <is>
          <t>Z.ai: GLM 5.3 Flash</t>
        </is>
      </c>
      <c r="C32" s="6" t="inlineStr">
        <is>
          <t>r18 (via Go)</t>
        </is>
      </c>
      <c r="D32" s="6" t="inlineStr">
        <is>
          <t>yes</t>
        </is>
      </c>
      <c r="E32" s="6" t="inlineStr">
        <is>
          <t>yes</t>
        </is>
      </c>
      <c r="F32" s="7" t="n">
        <v>1310720</v>
      </c>
      <c r="G32" s="6" t="inlineStr"/>
      <c r="H32" s="8" t="n">
        <v>0.15</v>
      </c>
      <c r="I32" s="8" t="n">
        <v>0.5</v>
      </c>
      <c r="J32" s="8" t="n">
        <v>0.03</v>
      </c>
      <c r="K32" s="8" t="n"/>
      <c r="L32" s="8" t="n"/>
      <c r="M32" s="9">
        <f>IF(OR(H32="",I32=""),"",(Profiles!$B$4*(Profiles!$B$10*H32+Profiles!$B$9*IF(J32="",H32,J32)+Profiles!$B$11*IF(K32="",H32,K32))+Profiles!$C$4*I32)/1000000+Profiles!$D$4*IF(L32="",0,L32))</f>
        <v/>
      </c>
      <c r="N32" s="9">
        <f>IF(OR(H32="",I32=""),"",(Profiles!$B$5*(Profiles!$B$10*H32+Profiles!$B$9*IF(J32="",H32,J32)+Profiles!$B$11*IF(K32="",H32,K32))+Profiles!$C$5*I32)/1000000+Profiles!$D$5*IF(L32="",0,L32))</f>
        <v/>
      </c>
      <c r="O32" s="9">
        <f>IF(OR(H32="",I32=""),"",(Profiles!$B$6*(Profiles!$B$10*H32+Profiles!$B$9*IF(J32="",H32,J32)+Profiles!$B$11*IF(K32="",H32,K32))+Profiles!$C$6*I32)/1000000+Profiles!$D$6*IF(L32="",0,L32))</f>
        <v/>
      </c>
      <c r="P32" s="9">
        <f>IF(OR(H32="",I32=""),"",(Profiles!$B$5*(Profiles!$B$10*H32+Profiles!$B$9*H32+Profiles!$B$11*H32)+Profiles!$C$5*I32)/1000000+Profiles!$D$5*IF(L32="",0,L32))</f>
        <v/>
      </c>
      <c r="Q32" s="6" t="inlineStr">
        <is>
          <t>2026-08-26</t>
        </is>
      </c>
      <c r="R32" s="6" t="inlineStr"/>
    </row>
    <row r="33">
      <c r="A33" t="inlineStr">
        <is>
          <t>openai/gpt-5.4-nano</t>
        </is>
      </c>
      <c r="B33" t="inlineStr">
        <is>
          <t>OpenAI: GPT-5.4 Nano</t>
        </is>
      </c>
      <c r="D33" t="inlineStr">
        <is>
          <t>yes</t>
        </is>
      </c>
      <c r="E33" t="inlineStr">
        <is>
          <t>yes</t>
        </is>
      </c>
      <c r="F33" s="10" t="n">
        <v>400000</v>
      </c>
      <c r="H33" s="11" t="n">
        <v>0.2</v>
      </c>
      <c r="I33" s="11" t="n">
        <v>1.25</v>
      </c>
      <c r="J33" s="11" t="n">
        <v>0.02</v>
      </c>
      <c r="K33" s="11" t="n"/>
      <c r="L33" s="11" t="n"/>
      <c r="M33" s="12">
        <f>IF(OR(H33="",I33=""),"",(Profiles!$B$4*(Profiles!$B$10*H33+Profiles!$B$9*IF(J33="",H33,J33)+Profiles!$B$11*IF(K33="",H33,K33))+Profiles!$C$4*I33)/1000000+Profiles!$D$4*IF(L33="",0,L33))</f>
        <v/>
      </c>
      <c r="N33" s="12">
        <f>IF(OR(H33="",I33=""),"",(Profiles!$B$5*(Profiles!$B$10*H33+Profiles!$B$9*IF(J33="",H33,J33)+Profiles!$B$11*IF(K33="",H33,K33))+Profiles!$C$5*I33)/1000000+Profiles!$D$5*IF(L33="",0,L33))</f>
        <v/>
      </c>
      <c r="O33" s="12">
        <f>IF(OR(H33="",I33=""),"",(Profiles!$B$6*(Profiles!$B$10*H33+Profiles!$B$9*IF(J33="",H33,J33)+Profiles!$B$11*IF(K33="",H33,K33))+Profiles!$C$6*I33)/1000000+Profiles!$D$6*IF(L33="",0,L33))</f>
        <v/>
      </c>
      <c r="P33" s="12">
        <f>IF(OR(H33="",I33=""),"",(Profiles!$B$5*(Profiles!$B$10*H33+Profiles!$B$9*H33+Profiles!$B$11*H33)+Profiles!$C$5*I33)/1000000+Profiles!$D$5*IF(L33="",0,L33))</f>
        <v/>
      </c>
      <c r="Q33" t="inlineStr">
        <is>
          <t>2026-03-17</t>
        </is>
      </c>
    </row>
    <row r="34">
      <c r="A34" t="inlineStr">
        <is>
          <t>google/gemma-3-27b-it</t>
        </is>
      </c>
      <c r="B34" t="inlineStr">
        <is>
          <t>Google: Gemma 3 27B</t>
        </is>
      </c>
      <c r="D34" t="inlineStr">
        <is>
          <t>yes</t>
        </is>
      </c>
      <c r="E34" t="inlineStr">
        <is>
          <t>yes</t>
        </is>
      </c>
      <c r="F34" s="10" t="n">
        <v>131072</v>
      </c>
      <c r="H34" s="11" t="n">
        <v>0.08</v>
      </c>
      <c r="I34" s="11" t="n">
        <v>0.45</v>
      </c>
      <c r="J34" s="11" t="n">
        <v>0.04</v>
      </c>
      <c r="K34" s="11" t="n"/>
      <c r="L34" s="11" t="n"/>
      <c r="M34" s="12">
        <f>IF(OR(H34="",I34=""),"",(Profiles!$B$4*(Profiles!$B$10*H34+Profiles!$B$9*IF(J34="",H34,J34)+Profiles!$B$11*IF(K34="",H34,K34))+Profiles!$C$4*I34)/1000000+Profiles!$D$4*IF(L34="",0,L34))</f>
        <v/>
      </c>
      <c r="N34" s="12">
        <f>IF(OR(H34="",I34=""),"",(Profiles!$B$5*(Profiles!$B$10*H34+Profiles!$B$9*IF(J34="",H34,J34)+Profiles!$B$11*IF(K34="",H34,K34))+Profiles!$C$5*I34)/1000000+Profiles!$D$5*IF(L34="",0,L34))</f>
        <v/>
      </c>
      <c r="O34" s="12">
        <f>IF(OR(H34="",I34=""),"",(Profiles!$B$6*(Profiles!$B$10*H34+Profiles!$B$9*IF(J34="",H34,J34)+Profiles!$B$11*IF(K34="",H34,K34))+Profiles!$C$6*I34)/1000000+Profiles!$D$6*IF(L34="",0,L34))</f>
        <v/>
      </c>
      <c r="P34" s="12">
        <f>IF(OR(H34="",I34=""),"",(Profiles!$B$5*(Profiles!$B$10*H34+Profiles!$B$9*H34+Profiles!$B$11*H34)+Profiles!$C$5*I34)/1000000+Profiles!$D$5*IF(L34="",0,L34))</f>
        <v/>
      </c>
      <c r="Q34" t="inlineStr">
        <is>
          <t>2025-03-12</t>
        </is>
      </c>
    </row>
    <row r="35">
      <c r="A35" t="inlineStr">
        <is>
          <t>openai/gpt-5.6-luna-pro</t>
        </is>
      </c>
      <c r="B35" t="inlineStr">
        <is>
          <t>OpenAI: GPT-5.6 Luna Pro</t>
        </is>
      </c>
      <c r="D35" t="inlineStr">
        <is>
          <t>yes</t>
        </is>
      </c>
      <c r="E35" t="inlineStr">
        <is>
          <t>yes</t>
        </is>
      </c>
      <c r="F35" s="10" t="n">
        <v>1050000</v>
      </c>
      <c r="H35" s="11" t="n">
        <v>0.2</v>
      </c>
      <c r="I35" s="11" t="n">
        <v>1.2</v>
      </c>
      <c r="J35" s="11" t="n">
        <v>0.02</v>
      </c>
      <c r="K35" s="11" t="n">
        <v>0.25</v>
      </c>
      <c r="L35" s="11" t="n"/>
      <c r="M35" s="12">
        <f>IF(OR(H35="",I35=""),"",(Profiles!$B$4*(Profiles!$B$10*H35+Profiles!$B$9*IF(J35="",H35,J35)+Profiles!$B$11*IF(K35="",H35,K35))+Profiles!$C$4*I35)/1000000+Profiles!$D$4*IF(L35="",0,L35))</f>
        <v/>
      </c>
      <c r="N35" s="12">
        <f>IF(OR(H35="",I35=""),"",(Profiles!$B$5*(Profiles!$B$10*H35+Profiles!$B$9*IF(J35="",H35,J35)+Profiles!$B$11*IF(K35="",H35,K35))+Profiles!$C$5*I35)/1000000+Profiles!$D$5*IF(L35="",0,L35))</f>
        <v/>
      </c>
      <c r="O35" s="12">
        <f>IF(OR(H35="",I35=""),"",(Profiles!$B$6*(Profiles!$B$10*H35+Profiles!$B$9*IF(J35="",H35,J35)+Profiles!$B$11*IF(K35="",H35,K35))+Profiles!$C$6*I35)/1000000+Profiles!$D$6*IF(L35="",0,L35))</f>
        <v/>
      </c>
      <c r="P35" s="12">
        <f>IF(OR(H35="",I35=""),"",(Profiles!$B$5*(Profiles!$B$10*H35+Profiles!$B$9*H35+Profiles!$B$11*H35)+Profiles!$C$5*I35)/1000000+Profiles!$D$5*IF(L35="",0,L35))</f>
        <v/>
      </c>
      <c r="Q35" t="inlineStr">
        <is>
          <t>2026-07-09</t>
        </is>
      </c>
    </row>
    <row r="36">
      <c r="A36" t="inlineStr">
        <is>
          <t>openai/gpt-5.6-luna</t>
        </is>
      </c>
      <c r="B36" t="inlineStr">
        <is>
          <t>OpenAI: GPT-5.6 Luna</t>
        </is>
      </c>
      <c r="D36" t="inlineStr">
        <is>
          <t>yes</t>
        </is>
      </c>
      <c r="E36" t="inlineStr">
        <is>
          <t>yes</t>
        </is>
      </c>
      <c r="F36" s="10" t="n">
        <v>1050000</v>
      </c>
      <c r="H36" s="11" t="n">
        <v>0.2</v>
      </c>
      <c r="I36" s="11" t="n">
        <v>1.2</v>
      </c>
      <c r="J36" s="11" t="n">
        <v>0.02</v>
      </c>
      <c r="K36" s="11" t="n">
        <v>0.25</v>
      </c>
      <c r="L36" s="11" t="n"/>
      <c r="M36" s="12">
        <f>IF(OR(H36="",I36=""),"",(Profiles!$B$4*(Profiles!$B$10*H36+Profiles!$B$9*IF(J36="",H36,J36)+Profiles!$B$11*IF(K36="",H36,K36))+Profiles!$C$4*I36)/1000000+Profiles!$D$4*IF(L36="",0,L36))</f>
        <v/>
      </c>
      <c r="N36" s="12">
        <f>IF(OR(H36="",I36=""),"",(Profiles!$B$5*(Profiles!$B$10*H36+Profiles!$B$9*IF(J36="",H36,J36)+Profiles!$B$11*IF(K36="",H36,K36))+Profiles!$C$5*I36)/1000000+Profiles!$D$5*IF(L36="",0,L36))</f>
        <v/>
      </c>
      <c r="O36" s="12">
        <f>IF(OR(H36="",I36=""),"",(Profiles!$B$6*(Profiles!$B$10*H36+Profiles!$B$9*IF(J36="",H36,J36)+Profiles!$B$11*IF(K36="",H36,K36))+Profiles!$C$6*I36)/1000000+Profiles!$D$6*IF(L36="",0,L36))</f>
        <v/>
      </c>
      <c r="P36" s="12">
        <f>IF(OR(H36="",I36=""),"",(Profiles!$B$5*(Profiles!$B$10*H36+Profiles!$B$9*H36+Profiles!$B$11*H36)+Profiles!$C$5*I36)/1000000+Profiles!$D$5*IF(L36="",0,L36))</f>
        <v/>
      </c>
      <c r="Q36" t="inlineStr">
        <is>
          <t>2026-07-09</t>
        </is>
      </c>
    </row>
    <row r="37">
      <c r="A37" t="inlineStr">
        <is>
          <t>google/gemma-3-12b-it</t>
        </is>
      </c>
      <c r="B37" t="inlineStr">
        <is>
          <t>Google: Gemma 3 12B</t>
        </is>
      </c>
      <c r="D37" t="inlineStr">
        <is>
          <t>yes</t>
        </is>
      </c>
      <c r="E37" t="inlineStr">
        <is>
          <t>yes</t>
        </is>
      </c>
      <c r="F37" s="10" t="n">
        <v>131072</v>
      </c>
      <c r="H37" s="11" t="n">
        <v>0.05</v>
      </c>
      <c r="I37" s="11" t="n">
        <v>0.15</v>
      </c>
      <c r="J37" s="11" t="n"/>
      <c r="K37" s="11" t="n"/>
      <c r="L37" s="11" t="n"/>
      <c r="M37" s="12">
        <f>IF(OR(H37="",I37=""),"",(Profiles!$B$4*(Profiles!$B$10*H37+Profiles!$B$9*IF(J37="",H37,J37)+Profiles!$B$11*IF(K37="",H37,K37))+Profiles!$C$4*I37)/1000000+Profiles!$D$4*IF(L37="",0,L37))</f>
        <v/>
      </c>
      <c r="N37" s="12">
        <f>IF(OR(H37="",I37=""),"",(Profiles!$B$5*(Profiles!$B$10*H37+Profiles!$B$9*IF(J37="",H37,J37)+Profiles!$B$11*IF(K37="",H37,K37))+Profiles!$C$5*I37)/1000000+Profiles!$D$5*IF(L37="",0,L37))</f>
        <v/>
      </c>
      <c r="O37" s="12">
        <f>IF(OR(H37="",I37=""),"",(Profiles!$B$6*(Profiles!$B$10*H37+Profiles!$B$9*IF(J37="",H37,J37)+Profiles!$B$11*IF(K37="",H37,K37))+Profiles!$C$6*I37)/1000000+Profiles!$D$6*IF(L37="",0,L37))</f>
        <v/>
      </c>
      <c r="P37" s="12">
        <f>IF(OR(H37="",I37=""),"",(Profiles!$B$5*(Profiles!$B$10*H37+Profiles!$B$9*H37+Profiles!$B$11*H37)+Profiles!$C$5*I37)/1000000+Profiles!$D$5*IF(L37="",0,L37))</f>
        <v/>
      </c>
      <c r="Q37" t="inlineStr">
        <is>
          <t>2025-03-13</t>
        </is>
      </c>
    </row>
    <row r="38">
      <c r="A38" t="inlineStr">
        <is>
          <t>google/gemini-3.1-flash-lite</t>
        </is>
      </c>
      <c r="B38" t="inlineStr">
        <is>
          <t>Google: Gemini 3.1 Flash Lite</t>
        </is>
      </c>
      <c r="D38" t="inlineStr">
        <is>
          <t>yes</t>
        </is>
      </c>
      <c r="E38" t="inlineStr">
        <is>
          <t>yes</t>
        </is>
      </c>
      <c r="F38" s="10" t="n">
        <v>1048576</v>
      </c>
      <c r="H38" s="11" t="n">
        <v>0.25</v>
      </c>
      <c r="I38" s="11" t="n">
        <v>1.5</v>
      </c>
      <c r="J38" s="11" t="n">
        <v>0.025</v>
      </c>
      <c r="K38" s="11" t="n">
        <v>0.0833333333333333</v>
      </c>
      <c r="L38" s="11" t="n">
        <v>2.5e-07</v>
      </c>
      <c r="M38" s="12">
        <f>IF(OR(H38="",I38=""),"",(Profiles!$B$4*(Profiles!$B$10*H38+Profiles!$B$9*IF(J38="",H38,J38)+Profiles!$B$11*IF(K38="",H38,K38))+Profiles!$C$4*I38)/1000000+Profiles!$D$4*IF(L38="",0,L38))</f>
        <v/>
      </c>
      <c r="N38" s="12">
        <f>IF(OR(H38="",I38=""),"",(Profiles!$B$5*(Profiles!$B$10*H38+Profiles!$B$9*IF(J38="",H38,J38)+Profiles!$B$11*IF(K38="",H38,K38))+Profiles!$C$5*I38)/1000000+Profiles!$D$5*IF(L38="",0,L38))</f>
        <v/>
      </c>
      <c r="O38" s="12">
        <f>IF(OR(H38="",I38=""),"",(Profiles!$B$6*(Profiles!$B$10*H38+Profiles!$B$9*IF(J38="",H38,J38)+Profiles!$B$11*IF(K38="",H38,K38))+Profiles!$C$6*I38)/1000000+Profiles!$D$6*IF(L38="",0,L38))</f>
        <v/>
      </c>
      <c r="P38" s="12">
        <f>IF(OR(H38="",I38=""),"",(Profiles!$B$5*(Profiles!$B$10*H38+Profiles!$B$9*H38+Profiles!$B$11*H38)+Profiles!$C$5*I38)/1000000+Profiles!$D$5*IF(L38="",0,L38))</f>
        <v/>
      </c>
      <c r="Q38" t="inlineStr">
        <is>
          <t>2026-05-07</t>
        </is>
      </c>
    </row>
    <row r="39">
      <c r="A39" t="inlineStr">
        <is>
          <t>google/gemini-3.1-flash-lite-preview</t>
        </is>
      </c>
      <c r="B39" t="inlineStr">
        <is>
          <t>Google: Gemini 3.1 Flash Lite Preview</t>
        </is>
      </c>
      <c r="D39" t="inlineStr">
        <is>
          <t>yes</t>
        </is>
      </c>
      <c r="E39" t="inlineStr">
        <is>
          <t>yes</t>
        </is>
      </c>
      <c r="F39" s="10" t="n">
        <v>1048576</v>
      </c>
      <c r="H39" s="11" t="n">
        <v>0.25</v>
      </c>
      <c r="I39" s="11" t="n">
        <v>1.5</v>
      </c>
      <c r="J39" s="11" t="n">
        <v>0.025</v>
      </c>
      <c r="K39" s="11" t="n">
        <v>0.0833333333333333</v>
      </c>
      <c r="L39" s="11" t="n">
        <v>2.5e-07</v>
      </c>
      <c r="M39" s="12">
        <f>IF(OR(H39="",I39=""),"",(Profiles!$B$4*(Profiles!$B$10*H39+Profiles!$B$9*IF(J39="",H39,J39)+Profiles!$B$11*IF(K39="",H39,K39))+Profiles!$C$4*I39)/1000000+Profiles!$D$4*IF(L39="",0,L39))</f>
        <v/>
      </c>
      <c r="N39" s="12">
        <f>IF(OR(H39="",I39=""),"",(Profiles!$B$5*(Profiles!$B$10*H39+Profiles!$B$9*IF(J39="",H39,J39)+Profiles!$B$11*IF(K39="",H39,K39))+Profiles!$C$5*I39)/1000000+Profiles!$D$5*IF(L39="",0,L39))</f>
        <v/>
      </c>
      <c r="O39" s="12">
        <f>IF(OR(H39="",I39=""),"",(Profiles!$B$6*(Profiles!$B$10*H39+Profiles!$B$9*IF(J39="",H39,J39)+Profiles!$B$11*IF(K39="",H39,K39))+Profiles!$C$6*I39)/1000000+Profiles!$D$6*IF(L39="",0,L39))</f>
        <v/>
      </c>
      <c r="P39" s="12">
        <f>IF(OR(H39="",I39=""),"",(Profiles!$B$5*(Profiles!$B$10*H39+Profiles!$B$9*H39+Profiles!$B$11*H39)+Profiles!$C$5*I39)/1000000+Profiles!$D$5*IF(L39="",0,L39))</f>
        <v/>
      </c>
      <c r="Q39" t="inlineStr">
        <is>
          <t>2026-03-03</t>
        </is>
      </c>
    </row>
    <row r="40">
      <c r="A40" s="6" t="inlineStr">
        <is>
          <t>xiaomi/mimo-v2.6-pro</t>
        </is>
      </c>
      <c r="B40" s="6" t="inlineStr">
        <is>
          <t>Xiaomi: MiMo-V2.6-Pro</t>
        </is>
      </c>
      <c r="C40" s="6" t="inlineStr">
        <is>
          <t>r18, r19 (via Go)</t>
        </is>
      </c>
      <c r="D40" s="6" t="inlineStr">
        <is>
          <t>yes</t>
        </is>
      </c>
      <c r="E40" s="6" t="inlineStr">
        <is>
          <t>yes</t>
        </is>
      </c>
      <c r="F40" s="7" t="n">
        <v>1050000</v>
      </c>
      <c r="G40" s="6" t="inlineStr"/>
      <c r="H40" s="8" t="n">
        <v>0.435</v>
      </c>
      <c r="I40" s="8" t="n">
        <v>0.87</v>
      </c>
      <c r="J40" s="8" t="n">
        <v>0.0036</v>
      </c>
      <c r="K40" s="8" t="n"/>
      <c r="L40" s="8" t="n"/>
      <c r="M40" s="9">
        <f>IF(OR(H40="",I40=""),"",(Profiles!$B$4*(Profiles!$B$10*H40+Profiles!$B$9*IF(J40="",H40,J40)+Profiles!$B$11*IF(K40="",H40,K40))+Profiles!$C$4*I40)/1000000+Profiles!$D$4*IF(L40="",0,L40))</f>
        <v/>
      </c>
      <c r="N40" s="9">
        <f>IF(OR(H40="",I40=""),"",(Profiles!$B$5*(Profiles!$B$10*H40+Profiles!$B$9*IF(J40="",H40,J40)+Profiles!$B$11*IF(K40="",H40,K40))+Profiles!$C$5*I40)/1000000+Profiles!$D$5*IF(L40="",0,L40))</f>
        <v/>
      </c>
      <c r="O40" s="9">
        <f>IF(OR(H40="",I40=""),"",(Profiles!$B$6*(Profiles!$B$10*H40+Profiles!$B$9*IF(J40="",H40,J40)+Profiles!$B$11*IF(K40="",H40,K40))+Profiles!$C$6*I40)/1000000+Profiles!$D$6*IF(L40="",0,L40))</f>
        <v/>
      </c>
      <c r="P40" s="9">
        <f>IF(OR(H40="",I40=""),"",(Profiles!$B$5*(Profiles!$B$10*H40+Profiles!$B$9*H40+Profiles!$B$11*H40)+Profiles!$C$5*I40)/1000000+Profiles!$D$5*IF(L40="",0,L40))</f>
        <v/>
      </c>
      <c r="Q40" s="6" t="inlineStr">
        <is>
          <t>2026-09-21</t>
        </is>
      </c>
      <c r="R40" s="6" t="inlineStr"/>
    </row>
    <row r="41">
      <c r="A41" t="inlineStr">
        <is>
          <t>google/gemma-4-26b-a4b-it</t>
        </is>
      </c>
      <c r="B41" t="inlineStr">
        <is>
          <t xml:space="preserve">Google: Gemma 4 26B A4B </t>
        </is>
      </c>
      <c r="D41" t="inlineStr">
        <is>
          <t>yes</t>
        </is>
      </c>
      <c r="E41" t="inlineStr">
        <is>
          <t>yes</t>
        </is>
      </c>
      <c r="F41" s="10" t="n">
        <v>262144</v>
      </c>
      <c r="H41" s="11" t="n">
        <v>0.09</v>
      </c>
      <c r="I41" s="11" t="n">
        <v>0.3</v>
      </c>
      <c r="J41" s="11" t="n">
        <v>0.05</v>
      </c>
      <c r="K41" s="11" t="n"/>
      <c r="L41" s="11" t="n"/>
      <c r="M41" s="12">
        <f>IF(OR(H41="",I41=""),"",(Profiles!$B$4*(Profiles!$B$10*H41+Profiles!$B$9*IF(J41="",H41,J41)+Profiles!$B$11*IF(K41="",H41,K41))+Profiles!$C$4*I41)/1000000+Profiles!$D$4*IF(L41="",0,L41))</f>
        <v/>
      </c>
      <c r="N41" s="12">
        <f>IF(OR(H41="",I41=""),"",(Profiles!$B$5*(Profiles!$B$10*H41+Profiles!$B$9*IF(J41="",H41,J41)+Profiles!$B$11*IF(K41="",H41,K41))+Profiles!$C$5*I41)/1000000+Profiles!$D$5*IF(L41="",0,L41))</f>
        <v/>
      </c>
      <c r="O41" s="12">
        <f>IF(OR(H41="",I41=""),"",(Profiles!$B$6*(Profiles!$B$10*H41+Profiles!$B$9*IF(J41="",H41,J41)+Profiles!$B$11*IF(K41="",H41,K41))+Profiles!$C$6*I41)/1000000+Profiles!$D$6*IF(L41="",0,L41))</f>
        <v/>
      </c>
      <c r="P41" s="12">
        <f>IF(OR(H41="",I41=""),"",(Profiles!$B$5*(Profiles!$B$10*H41+Profiles!$B$9*H41+Profiles!$B$11*H41)+Profiles!$C$5*I41)/1000000+Profiles!$D$5*IF(L41="",0,L41))</f>
        <v/>
      </c>
      <c r="Q41" t="inlineStr">
        <is>
          <t>2026-04-03</t>
        </is>
      </c>
    </row>
    <row r="42">
      <c r="A42" t="inlineStr">
        <is>
          <t>google/gemma-4-31b-it</t>
        </is>
      </c>
      <c r="B42" t="inlineStr">
        <is>
          <t>Google: Gemma 4 31B</t>
        </is>
      </c>
      <c r="D42" t="inlineStr">
        <is>
          <t>yes</t>
        </is>
      </c>
      <c r="E42" t="inlineStr">
        <is>
          <t>yes</t>
        </is>
      </c>
      <c r="F42" s="10" t="n">
        <v>262144</v>
      </c>
      <c r="H42" s="11" t="n">
        <v>0.09</v>
      </c>
      <c r="I42" s="11" t="n">
        <v>0.34</v>
      </c>
      <c r="J42" s="11" t="n">
        <v>0.05</v>
      </c>
      <c r="K42" s="11" t="n"/>
      <c r="L42" s="11" t="n"/>
      <c r="M42" s="12">
        <f>IF(OR(H42="",I42=""),"",(Profiles!$B$4*(Profiles!$B$10*H42+Profiles!$B$9*IF(J42="",H42,J42)+Profiles!$B$11*IF(K42="",H42,K42))+Profiles!$C$4*I42)/1000000+Profiles!$D$4*IF(L42="",0,L42))</f>
        <v/>
      </c>
      <c r="N42" s="12">
        <f>IF(OR(H42="",I42=""),"",(Profiles!$B$5*(Profiles!$B$10*H42+Profiles!$B$9*IF(J42="",H42,J42)+Profiles!$B$11*IF(K42="",H42,K42))+Profiles!$C$5*I42)/1000000+Profiles!$D$5*IF(L42="",0,L42))</f>
        <v/>
      </c>
      <c r="O42" s="12">
        <f>IF(OR(H42="",I42=""),"",(Profiles!$B$6*(Profiles!$B$10*H42+Profiles!$B$9*IF(J42="",H42,J42)+Profiles!$B$11*IF(K42="",H42,K42))+Profiles!$C$6*I42)/1000000+Profiles!$D$6*IF(L42="",0,L42))</f>
        <v/>
      </c>
      <c r="P42" s="12">
        <f>IF(OR(H42="",I42=""),"",(Profiles!$B$5*(Profiles!$B$10*H42+Profiles!$B$9*H42+Profiles!$B$11*H42)+Profiles!$C$5*I42)/1000000+Profiles!$D$5*IF(L42="",0,L42))</f>
        <v/>
      </c>
      <c r="Q42" t="inlineStr">
        <is>
          <t>2026-04-02</t>
        </is>
      </c>
    </row>
    <row r="43">
      <c r="A43" t="inlineStr">
        <is>
          <t>openai/gpt-5-mini</t>
        </is>
      </c>
      <c r="B43" t="inlineStr">
        <is>
          <t>OpenAI: GPT-5 Mini</t>
        </is>
      </c>
      <c r="D43" t="inlineStr">
        <is>
          <t>yes</t>
        </is>
      </c>
      <c r="E43" t="inlineStr">
        <is>
          <t>yes</t>
        </is>
      </c>
      <c r="F43" s="10" t="n">
        <v>400000</v>
      </c>
      <c r="H43" s="11" t="n">
        <v>0.25</v>
      </c>
      <c r="I43" s="11" t="n">
        <v>2</v>
      </c>
      <c r="J43" s="11" t="n">
        <v>0.025</v>
      </c>
      <c r="K43" s="11" t="n"/>
      <c r="L43" s="11" t="n"/>
      <c r="M43" s="12">
        <f>IF(OR(H43="",I43=""),"",(Profiles!$B$4*(Profiles!$B$10*H43+Profiles!$B$9*IF(J43="",H43,J43)+Profiles!$B$11*IF(K43="",H43,K43))+Profiles!$C$4*I43)/1000000+Profiles!$D$4*IF(L43="",0,L43))</f>
        <v/>
      </c>
      <c r="N43" s="12">
        <f>IF(OR(H43="",I43=""),"",(Profiles!$B$5*(Profiles!$B$10*H43+Profiles!$B$9*IF(J43="",H43,J43)+Profiles!$B$11*IF(K43="",H43,K43))+Profiles!$C$5*I43)/1000000+Profiles!$D$5*IF(L43="",0,L43))</f>
        <v/>
      </c>
      <c r="O43" s="12">
        <f>IF(OR(H43="",I43=""),"",(Profiles!$B$6*(Profiles!$B$10*H43+Profiles!$B$9*IF(J43="",H43,J43)+Profiles!$B$11*IF(K43="",H43,K43))+Profiles!$C$6*I43)/1000000+Profiles!$D$6*IF(L43="",0,L43))</f>
        <v/>
      </c>
      <c r="P43" s="12">
        <f>IF(OR(H43="",I43=""),"",(Profiles!$B$5*(Profiles!$B$10*H43+Profiles!$B$9*H43+Profiles!$B$11*H43)+Profiles!$C$5*I43)/1000000+Profiles!$D$5*IF(L43="",0,L43))</f>
        <v/>
      </c>
      <c r="Q43" t="inlineStr">
        <is>
          <t>2025-08-07</t>
        </is>
      </c>
    </row>
    <row r="44">
      <c r="A44" t="inlineStr">
        <is>
          <t>amazon/nova-lite-v1</t>
        </is>
      </c>
      <c r="B44" t="inlineStr">
        <is>
          <t>Amazon: Nova Lite 1.0</t>
        </is>
      </c>
      <c r="D44" t="inlineStr">
        <is>
          <t>yes</t>
        </is>
      </c>
      <c r="E44" t="inlineStr">
        <is>
          <t>yes</t>
        </is>
      </c>
      <c r="F44" s="10" t="n">
        <v>300000</v>
      </c>
      <c r="H44" s="11" t="n">
        <v>0.06</v>
      </c>
      <c r="I44" s="11" t="n">
        <v>0.24</v>
      </c>
      <c r="J44" s="11" t="n"/>
      <c r="K44" s="11" t="n"/>
      <c r="L44" s="11" t="n"/>
      <c r="M44" s="12">
        <f>IF(OR(H44="",I44=""),"",(Profiles!$B$4*(Profiles!$B$10*H44+Profiles!$B$9*IF(J44="",H44,J44)+Profiles!$B$11*IF(K44="",H44,K44))+Profiles!$C$4*I44)/1000000+Profiles!$D$4*IF(L44="",0,L44))</f>
        <v/>
      </c>
      <c r="N44" s="12">
        <f>IF(OR(H44="",I44=""),"",(Profiles!$B$5*(Profiles!$B$10*H44+Profiles!$B$9*IF(J44="",H44,J44)+Profiles!$B$11*IF(K44="",H44,K44))+Profiles!$C$5*I44)/1000000+Profiles!$D$5*IF(L44="",0,L44))</f>
        <v/>
      </c>
      <c r="O44" s="12">
        <f>IF(OR(H44="",I44=""),"",(Profiles!$B$6*(Profiles!$B$10*H44+Profiles!$B$9*IF(J44="",H44,J44)+Profiles!$B$11*IF(K44="",H44,K44))+Profiles!$C$6*I44)/1000000+Profiles!$D$6*IF(L44="",0,L44))</f>
        <v/>
      </c>
      <c r="P44" s="12">
        <f>IF(OR(H44="",I44=""),"",(Profiles!$B$5*(Profiles!$B$10*H44+Profiles!$B$9*H44+Profiles!$B$11*H44)+Profiles!$C$5*I44)/1000000+Profiles!$D$5*IF(L44="",0,L44))</f>
        <v/>
      </c>
      <c r="Q44" t="inlineStr">
        <is>
          <t>2024-12-05</t>
        </is>
      </c>
    </row>
    <row r="45">
      <c r="A45" t="inlineStr">
        <is>
          <t>stepfun/step-3.7-flash</t>
        </is>
      </c>
      <c r="B45" t="inlineStr">
        <is>
          <t>StepFun: Step 3.7 Flash</t>
        </is>
      </c>
      <c r="D45" t="inlineStr">
        <is>
          <t>yes</t>
        </is>
      </c>
      <c r="E45" t="inlineStr">
        <is>
          <t>yes</t>
        </is>
      </c>
      <c r="F45" s="10" t="n">
        <v>262144</v>
      </c>
      <c r="H45" s="11" t="n">
        <v>0.2</v>
      </c>
      <c r="I45" s="11" t="n">
        <v>1.15</v>
      </c>
      <c r="J45" s="11" t="n">
        <v>0.04</v>
      </c>
      <c r="K45" s="11" t="n"/>
      <c r="L45" s="11" t="n"/>
      <c r="M45" s="12">
        <f>IF(OR(H45="",I45=""),"",(Profiles!$B$4*(Profiles!$B$10*H45+Profiles!$B$9*IF(J45="",H45,J45)+Profiles!$B$11*IF(K45="",H45,K45))+Profiles!$C$4*I45)/1000000+Profiles!$D$4*IF(L45="",0,L45))</f>
        <v/>
      </c>
      <c r="N45" s="12">
        <f>IF(OR(H45="",I45=""),"",(Profiles!$B$5*(Profiles!$B$10*H45+Profiles!$B$9*IF(J45="",H45,J45)+Profiles!$B$11*IF(K45="",H45,K45))+Profiles!$C$5*I45)/1000000+Profiles!$D$5*IF(L45="",0,L45))</f>
        <v/>
      </c>
      <c r="O45" s="12">
        <f>IF(OR(H45="",I45=""),"",(Profiles!$B$6*(Profiles!$B$10*H45+Profiles!$B$9*IF(J45="",H45,J45)+Profiles!$B$11*IF(K45="",H45,K45))+Profiles!$C$6*I45)/1000000+Profiles!$D$6*IF(L45="",0,L45))</f>
        <v/>
      </c>
      <c r="P45" s="12">
        <f>IF(OR(H45="",I45=""),"",(Profiles!$B$5*(Profiles!$B$10*H45+Profiles!$B$9*H45+Profiles!$B$11*H45)+Profiles!$C$5*I45)/1000000+Profiles!$D$5*IF(L45="",0,L45))</f>
        <v/>
      </c>
      <c r="Q45" t="inlineStr">
        <is>
          <t>2026-05-28</t>
        </is>
      </c>
    </row>
    <row r="46">
      <c r="A46" t="inlineStr">
        <is>
          <t>openai/gpt-5.1-codex-mini</t>
        </is>
      </c>
      <c r="B46" t="inlineStr">
        <is>
          <t>OpenAI: GPT-5.1-Codex-Mini</t>
        </is>
      </c>
      <c r="D46" t="inlineStr">
        <is>
          <t>yes</t>
        </is>
      </c>
      <c r="E46" t="inlineStr">
        <is>
          <t>yes</t>
        </is>
      </c>
      <c r="F46" s="10" t="n">
        <v>400000</v>
      </c>
      <c r="H46" s="11" t="n">
        <v>0.25</v>
      </c>
      <c r="I46" s="11" t="n">
        <v>2</v>
      </c>
      <c r="J46" s="11" t="n">
        <v>0.03</v>
      </c>
      <c r="K46" s="11" t="n"/>
      <c r="L46" s="11" t="n"/>
      <c r="M46" s="12">
        <f>IF(OR(H46="",I46=""),"",(Profiles!$B$4*(Profiles!$B$10*H46+Profiles!$B$9*IF(J46="",H46,J46)+Profiles!$B$11*IF(K46="",H46,K46))+Profiles!$C$4*I46)/1000000+Profiles!$D$4*IF(L46="",0,L46))</f>
        <v/>
      </c>
      <c r="N46" s="12">
        <f>IF(OR(H46="",I46=""),"",(Profiles!$B$5*(Profiles!$B$10*H46+Profiles!$B$9*IF(J46="",H46,J46)+Profiles!$B$11*IF(K46="",H46,K46))+Profiles!$C$5*I46)/1000000+Profiles!$D$5*IF(L46="",0,L46))</f>
        <v/>
      </c>
      <c r="O46" s="12">
        <f>IF(OR(H46="",I46=""),"",(Profiles!$B$6*(Profiles!$B$10*H46+Profiles!$B$9*IF(J46="",H46,J46)+Profiles!$B$11*IF(K46="",H46,K46))+Profiles!$C$6*I46)/1000000+Profiles!$D$6*IF(L46="",0,L46))</f>
        <v/>
      </c>
      <c r="P46" s="12">
        <f>IF(OR(H46="",I46=""),"",(Profiles!$B$5*(Profiles!$B$10*H46+Profiles!$B$9*H46+Profiles!$B$11*H46)+Profiles!$C$5*I46)/1000000+Profiles!$D$5*IF(L46="",0,L46))</f>
        <v/>
      </c>
      <c r="Q46" t="inlineStr">
        <is>
          <t>2025-11-13</t>
        </is>
      </c>
    </row>
    <row r="47">
      <c r="A47" t="inlineStr">
        <is>
          <t>qwen/qwen3.5-flash-02-23</t>
        </is>
      </c>
      <c r="B47" t="inlineStr">
        <is>
          <t>Qwen: Qwen3.5-Flash</t>
        </is>
      </c>
      <c r="D47" t="inlineStr">
        <is>
          <t>yes</t>
        </is>
      </c>
      <c r="E47" t="inlineStr">
        <is>
          <t>yes</t>
        </is>
      </c>
      <c r="F47" s="10" t="n">
        <v>1000000</v>
      </c>
      <c r="H47" s="11" t="n">
        <v>0.065</v>
      </c>
      <c r="I47" s="11" t="n">
        <v>0.26</v>
      </c>
      <c r="J47" s="11" t="n"/>
      <c r="K47" s="11" t="n"/>
      <c r="L47" s="11" t="n"/>
      <c r="M47" s="12">
        <f>IF(OR(H47="",I47=""),"",(Profiles!$B$4*(Profiles!$B$10*H47+Profiles!$B$9*IF(J47="",H47,J47)+Profiles!$B$11*IF(K47="",H47,K47))+Profiles!$C$4*I47)/1000000+Profiles!$D$4*IF(L47="",0,L47))</f>
        <v/>
      </c>
      <c r="N47" s="12">
        <f>IF(OR(H47="",I47=""),"",(Profiles!$B$5*(Profiles!$B$10*H47+Profiles!$B$9*IF(J47="",H47,J47)+Profiles!$B$11*IF(K47="",H47,K47))+Profiles!$C$5*I47)/1000000+Profiles!$D$5*IF(L47="",0,L47))</f>
        <v/>
      </c>
      <c r="O47" s="12">
        <f>IF(OR(H47="",I47=""),"",(Profiles!$B$6*(Profiles!$B$10*H47+Profiles!$B$9*IF(J47="",H47,J47)+Profiles!$B$11*IF(K47="",H47,K47))+Profiles!$C$6*I47)/1000000+Profiles!$D$6*IF(L47="",0,L47))</f>
        <v/>
      </c>
      <c r="P47" s="12">
        <f>IF(OR(H47="",I47=""),"",(Profiles!$B$5*(Profiles!$B$10*H47+Profiles!$B$9*H47+Profiles!$B$11*H47)+Profiles!$C$5*I47)/1000000+Profiles!$D$5*IF(L47="",0,L47))</f>
        <v/>
      </c>
      <c r="Q47" t="inlineStr">
        <is>
          <t>2026-02-25</t>
        </is>
      </c>
    </row>
    <row r="48">
      <c r="A48" t="inlineStr">
        <is>
          <t>qwen/qwen3.6-35b-a3b</t>
        </is>
      </c>
      <c r="B48" t="inlineStr">
        <is>
          <t>Qwen: Qwen3.6 35B A3B</t>
        </is>
      </c>
      <c r="D48" t="inlineStr">
        <is>
          <t>yes</t>
        </is>
      </c>
      <c r="E48" t="inlineStr">
        <is>
          <t>yes</t>
        </is>
      </c>
      <c r="F48" s="10" t="n">
        <v>262144</v>
      </c>
      <c r="H48" s="11" t="n">
        <v>0.15</v>
      </c>
      <c r="I48" s="11" t="n">
        <v>1</v>
      </c>
      <c r="J48" s="11" t="n">
        <v>0.05</v>
      </c>
      <c r="K48" s="11" t="n"/>
      <c r="L48" s="11" t="n"/>
      <c r="M48" s="12">
        <f>IF(OR(H48="",I48=""),"",(Profiles!$B$4*(Profiles!$B$10*H48+Profiles!$B$9*IF(J48="",H48,J48)+Profiles!$B$11*IF(K48="",H48,K48))+Profiles!$C$4*I48)/1000000+Profiles!$D$4*IF(L48="",0,L48))</f>
        <v/>
      </c>
      <c r="N48" s="12">
        <f>IF(OR(H48="",I48=""),"",(Profiles!$B$5*(Profiles!$B$10*H48+Profiles!$B$9*IF(J48="",H48,J48)+Profiles!$B$11*IF(K48="",H48,K48))+Profiles!$C$5*I48)/1000000+Profiles!$D$5*IF(L48="",0,L48))</f>
        <v/>
      </c>
      <c r="O48" s="12">
        <f>IF(OR(H48="",I48=""),"",(Profiles!$B$6*(Profiles!$B$10*H48+Profiles!$B$9*IF(J48="",H48,J48)+Profiles!$B$11*IF(K48="",H48,K48))+Profiles!$C$6*I48)/1000000+Profiles!$D$6*IF(L48="",0,L48))</f>
        <v/>
      </c>
      <c r="P48" s="12">
        <f>IF(OR(H48="",I48=""),"",(Profiles!$B$5*(Profiles!$B$10*H48+Profiles!$B$9*H48+Profiles!$B$11*H48)+Profiles!$C$5*I48)/1000000+Profiles!$D$5*IF(L48="",0,L48))</f>
        <v/>
      </c>
      <c r="Q48" t="inlineStr">
        <is>
          <t>2026-04-27</t>
        </is>
      </c>
    </row>
    <row r="49">
      <c r="A49" t="inlineStr">
        <is>
          <t>google/gemini-3.5-flash-lite</t>
        </is>
      </c>
      <c r="B49" t="inlineStr">
        <is>
          <t>Google: Gemini 3.5 Flash Lite</t>
        </is>
      </c>
      <c r="D49" t="inlineStr">
        <is>
          <t>yes</t>
        </is>
      </c>
      <c r="E49" t="inlineStr">
        <is>
          <t>yes</t>
        </is>
      </c>
      <c r="F49" s="10" t="n">
        <v>1048576</v>
      </c>
      <c r="H49" s="11" t="n">
        <v>0.3</v>
      </c>
      <c r="I49" s="11" t="n">
        <v>2.5</v>
      </c>
      <c r="J49" s="11" t="n">
        <v>0.03</v>
      </c>
      <c r="K49" s="11" t="n">
        <v>0.0833333333333333</v>
      </c>
      <c r="L49" s="11" t="n">
        <v>3e-07</v>
      </c>
      <c r="M49" s="12">
        <f>IF(OR(H49="",I49=""),"",(Profiles!$B$4*(Profiles!$B$10*H49+Profiles!$B$9*IF(J49="",H49,J49)+Profiles!$B$11*IF(K49="",H49,K49))+Profiles!$C$4*I49)/1000000+Profiles!$D$4*IF(L49="",0,L49))</f>
        <v/>
      </c>
      <c r="N49" s="12">
        <f>IF(OR(H49="",I49=""),"",(Profiles!$B$5*(Profiles!$B$10*H49+Profiles!$B$9*IF(J49="",H49,J49)+Profiles!$B$11*IF(K49="",H49,K49))+Profiles!$C$5*I49)/1000000+Profiles!$D$5*IF(L49="",0,L49))</f>
        <v/>
      </c>
      <c r="O49" s="12">
        <f>IF(OR(H49="",I49=""),"",(Profiles!$B$6*(Profiles!$B$10*H49+Profiles!$B$9*IF(J49="",H49,J49)+Profiles!$B$11*IF(K49="",H49,K49))+Profiles!$C$6*I49)/1000000+Profiles!$D$6*IF(L49="",0,L49))</f>
        <v/>
      </c>
      <c r="P49" s="12">
        <f>IF(OR(H49="",I49=""),"",(Profiles!$B$5*(Profiles!$B$10*H49+Profiles!$B$9*H49+Profiles!$B$11*H49)+Profiles!$C$5*I49)/1000000+Profiles!$D$5*IF(L49="",0,L49))</f>
        <v/>
      </c>
      <c r="Q49" t="inlineStr">
        <is>
          <t>2026-07-21</t>
        </is>
      </c>
    </row>
    <row r="50">
      <c r="A50" t="inlineStr">
        <is>
          <t>google/gemini-2.5-flash</t>
        </is>
      </c>
      <c r="B50" t="inlineStr">
        <is>
          <t>Google: Gemini 2.5 Flash</t>
        </is>
      </c>
      <c r="D50" t="inlineStr">
        <is>
          <t>yes</t>
        </is>
      </c>
      <c r="E50" t="inlineStr">
        <is>
          <t>yes</t>
        </is>
      </c>
      <c r="F50" s="10" t="n">
        <v>1048576</v>
      </c>
      <c r="H50" s="11" t="n">
        <v>0.3</v>
      </c>
      <c r="I50" s="11" t="n">
        <v>2.5</v>
      </c>
      <c r="J50" s="11" t="n">
        <v>0.03</v>
      </c>
      <c r="K50" s="11" t="n">
        <v>0.0833333333333333</v>
      </c>
      <c r="L50" s="11" t="n">
        <v>3e-07</v>
      </c>
      <c r="M50" s="12">
        <f>IF(OR(H50="",I50=""),"",(Profiles!$B$4*(Profiles!$B$10*H50+Profiles!$B$9*IF(J50="",H50,J50)+Profiles!$B$11*IF(K50="",H50,K50))+Profiles!$C$4*I50)/1000000+Profiles!$D$4*IF(L50="",0,L50))</f>
        <v/>
      </c>
      <c r="N50" s="12">
        <f>IF(OR(H50="",I50=""),"",(Profiles!$B$5*(Profiles!$B$10*H50+Profiles!$B$9*IF(J50="",H50,J50)+Profiles!$B$11*IF(K50="",H50,K50))+Profiles!$C$5*I50)/1000000+Profiles!$D$5*IF(L50="",0,L50))</f>
        <v/>
      </c>
      <c r="O50" s="12">
        <f>IF(OR(H50="",I50=""),"",(Profiles!$B$6*(Profiles!$B$10*H50+Profiles!$B$9*IF(J50="",H50,J50)+Profiles!$B$11*IF(K50="",H50,K50))+Profiles!$C$6*I50)/1000000+Profiles!$D$6*IF(L50="",0,L50))</f>
        <v/>
      </c>
      <c r="P50" s="12">
        <f>IF(OR(H50="",I50=""),"",(Profiles!$B$5*(Profiles!$B$10*H50+Profiles!$B$9*H50+Profiles!$B$11*H50)+Profiles!$C$5*I50)/1000000+Profiles!$D$5*IF(L50="",0,L50))</f>
        <v/>
      </c>
      <c r="Q50" t="inlineStr">
        <is>
          <t>2025-06-17</t>
        </is>
      </c>
      <c r="R50" t="inlineStr">
        <is>
          <t>2026-10-20</t>
        </is>
      </c>
    </row>
    <row r="51">
      <c r="A51" t="inlineStr">
        <is>
          <t>deepseek/deepseek-v4-flash-vision-exp</t>
        </is>
      </c>
      <c r="B51" t="inlineStr">
        <is>
          <t>DeepSeek: DeepSeek V4 Flash Vision Exp</t>
        </is>
      </c>
      <c r="D51" t="inlineStr">
        <is>
          <t>yes</t>
        </is>
      </c>
      <c r="E51" t="inlineStr">
        <is>
          <t>yes</t>
        </is>
      </c>
      <c r="F51" s="10" t="n">
        <v>1048576</v>
      </c>
      <c r="H51" s="11" t="n">
        <v>0.44</v>
      </c>
      <c r="I51" s="11" t="n">
        <v>1.32</v>
      </c>
      <c r="J51" s="11" t="n">
        <v>0.014</v>
      </c>
      <c r="K51" s="11" t="n"/>
      <c r="L51" s="11" t="n"/>
      <c r="M51" s="12">
        <f>IF(OR(H51="",I51=""),"",(Profiles!$B$4*(Profiles!$B$10*H51+Profiles!$B$9*IF(J51="",H51,J51)+Profiles!$B$11*IF(K51="",H51,K51))+Profiles!$C$4*I51)/1000000+Profiles!$D$4*IF(L51="",0,L51))</f>
        <v/>
      </c>
      <c r="N51" s="12">
        <f>IF(OR(H51="",I51=""),"",(Profiles!$B$5*(Profiles!$B$10*H51+Profiles!$B$9*IF(J51="",H51,J51)+Profiles!$B$11*IF(K51="",H51,K51))+Profiles!$C$5*I51)/1000000+Profiles!$D$5*IF(L51="",0,L51))</f>
        <v/>
      </c>
      <c r="O51" s="12">
        <f>IF(OR(H51="",I51=""),"",(Profiles!$B$6*(Profiles!$B$10*H51+Profiles!$B$9*IF(J51="",H51,J51)+Profiles!$B$11*IF(K51="",H51,K51))+Profiles!$C$6*I51)/1000000+Profiles!$D$6*IF(L51="",0,L51))</f>
        <v/>
      </c>
      <c r="P51" s="12">
        <f>IF(OR(H51="",I51=""),"",(Profiles!$B$5*(Profiles!$B$10*H51+Profiles!$B$9*H51+Profiles!$B$11*H51)+Profiles!$C$5*I51)/1000000+Profiles!$D$5*IF(L51="",0,L51))</f>
        <v/>
      </c>
      <c r="Q51" t="inlineStr">
        <is>
          <t>2026-08-21</t>
        </is>
      </c>
    </row>
    <row r="52">
      <c r="A52" t="inlineStr">
        <is>
          <t>meta/muse-glimmer-30b</t>
        </is>
      </c>
      <c r="B52" t="inlineStr">
        <is>
          <t>Meta: Muse Glimmer 30B</t>
        </is>
      </c>
      <c r="D52" t="inlineStr">
        <is>
          <t>yes</t>
        </is>
      </c>
      <c r="E52" t="inlineStr">
        <is>
          <t>yes</t>
        </is>
      </c>
      <c r="F52" s="10" t="n">
        <v>131072</v>
      </c>
      <c r="H52" s="11" t="n">
        <v>0.3</v>
      </c>
      <c r="I52" s="11" t="n">
        <v>1.2</v>
      </c>
      <c r="J52" s="11" t="n">
        <v>0.04</v>
      </c>
      <c r="K52" s="11" t="n"/>
      <c r="L52" s="11" t="n"/>
      <c r="M52" s="12">
        <f>IF(OR(H52="",I52=""),"",(Profiles!$B$4*(Profiles!$B$10*H52+Profiles!$B$9*IF(J52="",H52,J52)+Profiles!$B$11*IF(K52="",H52,K52))+Profiles!$C$4*I52)/1000000+Profiles!$D$4*IF(L52="",0,L52))</f>
        <v/>
      </c>
      <c r="N52" s="12">
        <f>IF(OR(H52="",I52=""),"",(Profiles!$B$5*(Profiles!$B$10*H52+Profiles!$B$9*IF(J52="",H52,J52)+Profiles!$B$11*IF(K52="",H52,K52))+Profiles!$C$5*I52)/1000000+Profiles!$D$5*IF(L52="",0,L52))</f>
        <v/>
      </c>
      <c r="O52" s="12">
        <f>IF(OR(H52="",I52=""),"",(Profiles!$B$6*(Profiles!$B$10*H52+Profiles!$B$9*IF(J52="",H52,J52)+Profiles!$B$11*IF(K52="",H52,K52))+Profiles!$C$6*I52)/1000000+Profiles!$D$6*IF(L52="",0,L52))</f>
        <v/>
      </c>
      <c r="P52" s="12">
        <f>IF(OR(H52="",I52=""),"",(Profiles!$B$5*(Profiles!$B$10*H52+Profiles!$B$9*H52+Profiles!$B$11*H52)+Profiles!$C$5*I52)/1000000+Profiles!$D$5*IF(L52="",0,L52))</f>
        <v/>
      </c>
      <c r="Q52" t="inlineStr">
        <is>
          <t>2026-08-09</t>
        </is>
      </c>
    </row>
    <row r="53">
      <c r="A53" t="inlineStr">
        <is>
          <t>bytedance-seed/seed-1.6-flash</t>
        </is>
      </c>
      <c r="B53" t="inlineStr">
        <is>
          <t>ByteDance Seed: Seed 1.6 Flash</t>
        </is>
      </c>
      <c r="D53" t="inlineStr">
        <is>
          <t>yes</t>
        </is>
      </c>
      <c r="E53" t="inlineStr">
        <is>
          <t>yes</t>
        </is>
      </c>
      <c r="F53" s="10" t="n">
        <v>262144</v>
      </c>
      <c r="H53" s="11" t="n">
        <v>0.075</v>
      </c>
      <c r="I53" s="11" t="n">
        <v>0.3</v>
      </c>
      <c r="J53" s="11" t="n"/>
      <c r="K53" s="11" t="n"/>
      <c r="L53" s="11" t="n"/>
      <c r="M53" s="12">
        <f>IF(OR(H53="",I53=""),"",(Profiles!$B$4*(Profiles!$B$10*H53+Profiles!$B$9*IF(J53="",H53,J53)+Profiles!$B$11*IF(K53="",H53,K53))+Profiles!$C$4*I53)/1000000+Profiles!$D$4*IF(L53="",0,L53))</f>
        <v/>
      </c>
      <c r="N53" s="12">
        <f>IF(OR(H53="",I53=""),"",(Profiles!$B$5*(Profiles!$B$10*H53+Profiles!$B$9*IF(J53="",H53,J53)+Profiles!$B$11*IF(K53="",H53,K53))+Profiles!$C$5*I53)/1000000+Profiles!$D$5*IF(L53="",0,L53))</f>
        <v/>
      </c>
      <c r="O53" s="12">
        <f>IF(OR(H53="",I53=""),"",(Profiles!$B$6*(Profiles!$B$10*H53+Profiles!$B$9*IF(J53="",H53,J53)+Profiles!$B$11*IF(K53="",H53,K53))+Profiles!$C$6*I53)/1000000+Profiles!$D$6*IF(L53="",0,L53))</f>
        <v/>
      </c>
      <c r="P53" s="12">
        <f>IF(OR(H53="",I53=""),"",(Profiles!$B$5*(Profiles!$B$10*H53+Profiles!$B$9*H53+Profiles!$B$11*H53)+Profiles!$C$5*I53)/1000000+Profiles!$D$5*IF(L53="",0,L53))</f>
        <v/>
      </c>
      <c r="Q53" t="inlineStr">
        <is>
          <t>2025-12-23</t>
        </is>
      </c>
      <c r="R53" t="inlineStr">
        <is>
          <t>2026-11-11</t>
        </is>
      </c>
    </row>
    <row r="54">
      <c r="A54" t="inlineStr">
        <is>
          <t>prism-ml/ternary-bonsai-2-27b</t>
        </is>
      </c>
      <c r="B54" t="inlineStr">
        <is>
          <t>PrismML: Ternary Bonsai 2 27B</t>
        </is>
      </c>
      <c r="D54" t="inlineStr">
        <is>
          <t>yes</t>
        </is>
      </c>
      <c r="E54" t="inlineStr">
        <is>
          <t>yes</t>
        </is>
      </c>
      <c r="F54" s="10" t="n">
        <v>262144</v>
      </c>
      <c r="H54" s="11" t="n">
        <v>0.075</v>
      </c>
      <c r="I54" s="11" t="n">
        <v>0.5</v>
      </c>
      <c r="J54" s="11" t="n"/>
      <c r="K54" s="11" t="n"/>
      <c r="L54" s="11" t="n"/>
      <c r="M54" s="12">
        <f>IF(OR(H54="",I54=""),"",(Profiles!$B$4*(Profiles!$B$10*H54+Profiles!$B$9*IF(J54="",H54,J54)+Profiles!$B$11*IF(K54="",H54,K54))+Profiles!$C$4*I54)/1000000+Profiles!$D$4*IF(L54="",0,L54))</f>
        <v/>
      </c>
      <c r="N54" s="12">
        <f>IF(OR(H54="",I54=""),"",(Profiles!$B$5*(Profiles!$B$10*H54+Profiles!$B$9*IF(J54="",H54,J54)+Profiles!$B$11*IF(K54="",H54,K54))+Profiles!$C$5*I54)/1000000+Profiles!$D$5*IF(L54="",0,L54))</f>
        <v/>
      </c>
      <c r="O54" s="12">
        <f>IF(OR(H54="",I54=""),"",(Profiles!$B$6*(Profiles!$B$10*H54+Profiles!$B$9*IF(J54="",H54,J54)+Profiles!$B$11*IF(K54="",H54,K54))+Profiles!$C$6*I54)/1000000+Profiles!$D$6*IF(L54="",0,L54))</f>
        <v/>
      </c>
      <c r="P54" s="12">
        <f>IF(OR(H54="",I54=""),"",(Profiles!$B$5*(Profiles!$B$10*H54+Profiles!$B$9*H54+Profiles!$B$11*H54)+Profiles!$C$5*I54)/1000000+Profiles!$D$5*IF(L54="",0,L54))</f>
        <v/>
      </c>
      <c r="Q54" t="inlineStr">
        <is>
          <t>2026-09-18</t>
        </is>
      </c>
    </row>
    <row r="55">
      <c r="A55" t="inlineStr">
        <is>
          <t>openai/gpt-4o-mini</t>
        </is>
      </c>
      <c r="B55" t="inlineStr">
        <is>
          <t>OpenAI: GPT-4o-mini</t>
        </is>
      </c>
      <c r="D55" t="inlineStr">
        <is>
          <t>yes</t>
        </is>
      </c>
      <c r="E55" t="inlineStr">
        <is>
          <t>yes</t>
        </is>
      </c>
      <c r="F55" s="10" t="n">
        <v>128000</v>
      </c>
      <c r="H55" s="11" t="n">
        <v>0.15</v>
      </c>
      <c r="I55" s="11" t="n">
        <v>0.6</v>
      </c>
      <c r="J55" s="11" t="n">
        <v>0.075</v>
      </c>
      <c r="K55" s="11" t="n"/>
      <c r="L55" s="11" t="n"/>
      <c r="M55" s="12">
        <f>IF(OR(H55="",I55=""),"",(Profiles!$B$4*(Profiles!$B$10*H55+Profiles!$B$9*IF(J55="",H55,J55)+Profiles!$B$11*IF(K55="",H55,K55))+Profiles!$C$4*I55)/1000000+Profiles!$D$4*IF(L55="",0,L55))</f>
        <v/>
      </c>
      <c r="N55" s="12">
        <f>IF(OR(H55="",I55=""),"",(Profiles!$B$5*(Profiles!$B$10*H55+Profiles!$B$9*IF(J55="",H55,J55)+Profiles!$B$11*IF(K55="",H55,K55))+Profiles!$C$5*I55)/1000000+Profiles!$D$5*IF(L55="",0,L55))</f>
        <v/>
      </c>
      <c r="O55" s="12">
        <f>IF(OR(H55="",I55=""),"",(Profiles!$B$6*(Profiles!$B$10*H55+Profiles!$B$9*IF(J55="",H55,J55)+Profiles!$B$11*IF(K55="",H55,K55))+Profiles!$C$6*I55)/1000000+Profiles!$D$6*IF(L55="",0,L55))</f>
        <v/>
      </c>
      <c r="P55" s="12">
        <f>IF(OR(H55="",I55=""),"",(Profiles!$B$5*(Profiles!$B$10*H55+Profiles!$B$9*H55+Profiles!$B$11*H55)+Profiles!$C$5*I55)/1000000+Profiles!$D$5*IF(L55="",0,L55))</f>
        <v/>
      </c>
      <c r="Q55" t="inlineStr">
        <is>
          <t>2024-07-18</t>
        </is>
      </c>
    </row>
    <row r="56">
      <c r="A56" t="inlineStr">
        <is>
          <t>openai/gpt-4o-mini-2024-07-18</t>
        </is>
      </c>
      <c r="B56" t="inlineStr">
        <is>
          <t>OpenAI: GPT-4o-mini (2024-07-18)</t>
        </is>
      </c>
      <c r="D56" t="inlineStr">
        <is>
          <t>yes</t>
        </is>
      </c>
      <c r="E56" t="inlineStr">
        <is>
          <t>yes</t>
        </is>
      </c>
      <c r="F56" s="10" t="n">
        <v>128000</v>
      </c>
      <c r="H56" s="11" t="n">
        <v>0.15</v>
      </c>
      <c r="I56" s="11" t="n">
        <v>0.6</v>
      </c>
      <c r="J56" s="11" t="n">
        <v>0.075</v>
      </c>
      <c r="K56" s="11" t="n"/>
      <c r="L56" s="11" t="n"/>
      <c r="M56" s="12">
        <f>IF(OR(H56="",I56=""),"",(Profiles!$B$4*(Profiles!$B$10*H56+Profiles!$B$9*IF(J56="",H56,J56)+Profiles!$B$11*IF(K56="",H56,K56))+Profiles!$C$4*I56)/1000000+Profiles!$D$4*IF(L56="",0,L56))</f>
        <v/>
      </c>
      <c r="N56" s="12">
        <f>IF(OR(H56="",I56=""),"",(Profiles!$B$5*(Profiles!$B$10*H56+Profiles!$B$9*IF(J56="",H56,J56)+Profiles!$B$11*IF(K56="",H56,K56))+Profiles!$C$5*I56)/1000000+Profiles!$D$5*IF(L56="",0,L56))</f>
        <v/>
      </c>
      <c r="O56" s="12">
        <f>IF(OR(H56="",I56=""),"",(Profiles!$B$6*(Profiles!$B$10*H56+Profiles!$B$9*IF(J56="",H56,J56)+Profiles!$B$11*IF(K56="",H56,K56))+Profiles!$C$6*I56)/1000000+Profiles!$D$6*IF(L56="",0,L56))</f>
        <v/>
      </c>
      <c r="P56" s="12">
        <f>IF(OR(H56="",I56=""),"",(Profiles!$B$5*(Profiles!$B$10*H56+Profiles!$B$9*H56+Profiles!$B$11*H56)+Profiles!$C$5*I56)/1000000+Profiles!$D$5*IF(L56="",0,L56))</f>
        <v/>
      </c>
      <c r="Q56" t="inlineStr">
        <is>
          <t>2024-07-18</t>
        </is>
      </c>
    </row>
    <row r="57">
      <c r="A57" t="inlineStr">
        <is>
          <t>z-ai/glm-4.6v</t>
        </is>
      </c>
      <c r="B57" t="inlineStr">
        <is>
          <t>Z.ai: GLM 4.6V</t>
        </is>
      </c>
      <c r="D57" t="inlineStr">
        <is>
          <t>yes</t>
        </is>
      </c>
      <c r="E57" t="inlineStr">
        <is>
          <t>yes</t>
        </is>
      </c>
      <c r="F57" s="10" t="n">
        <v>131072</v>
      </c>
      <c r="H57" s="11" t="n">
        <v>0.3</v>
      </c>
      <c r="I57" s="11" t="n">
        <v>0.8999999999999999</v>
      </c>
      <c r="J57" s="11" t="n">
        <v>0.055</v>
      </c>
      <c r="K57" s="11" t="n"/>
      <c r="L57" s="11" t="n"/>
      <c r="M57" s="12">
        <f>IF(OR(H57="",I57=""),"",(Profiles!$B$4*(Profiles!$B$10*H57+Profiles!$B$9*IF(J57="",H57,J57)+Profiles!$B$11*IF(K57="",H57,K57))+Profiles!$C$4*I57)/1000000+Profiles!$D$4*IF(L57="",0,L57))</f>
        <v/>
      </c>
      <c r="N57" s="12">
        <f>IF(OR(H57="",I57=""),"",(Profiles!$B$5*(Profiles!$B$10*H57+Profiles!$B$9*IF(J57="",H57,J57)+Profiles!$B$11*IF(K57="",H57,K57))+Profiles!$C$5*I57)/1000000+Profiles!$D$5*IF(L57="",0,L57))</f>
        <v/>
      </c>
      <c r="O57" s="12">
        <f>IF(OR(H57="",I57=""),"",(Profiles!$B$6*(Profiles!$B$10*H57+Profiles!$B$9*IF(J57="",H57,J57)+Profiles!$B$11*IF(K57="",H57,K57))+Profiles!$C$6*I57)/1000000+Profiles!$D$6*IF(L57="",0,L57))</f>
        <v/>
      </c>
      <c r="P57" s="12">
        <f>IF(OR(H57="",I57=""),"",(Profiles!$B$5*(Profiles!$B$10*H57+Profiles!$B$9*H57+Profiles!$B$11*H57)+Profiles!$C$5*I57)/1000000+Profiles!$D$5*IF(L57="",0,L57))</f>
        <v/>
      </c>
      <c r="Q57" t="inlineStr">
        <is>
          <t>2025-12-08</t>
        </is>
      </c>
    </row>
    <row r="58">
      <c r="A58" t="inlineStr">
        <is>
          <t>mistralai/mistral-medium-3.1</t>
        </is>
      </c>
      <c r="B58" t="inlineStr">
        <is>
          <t>Mistral: Mistral Medium 3.1</t>
        </is>
      </c>
      <c r="D58" t="inlineStr">
        <is>
          <t>yes</t>
        </is>
      </c>
      <c r="E58" t="inlineStr">
        <is>
          <t>yes</t>
        </is>
      </c>
      <c r="F58" s="10" t="n">
        <v>131072</v>
      </c>
      <c r="H58" s="11" t="n">
        <v>0.4</v>
      </c>
      <c r="I58" s="11" t="n">
        <v>2</v>
      </c>
      <c r="J58" s="11" t="n">
        <v>0.04</v>
      </c>
      <c r="K58" s="11" t="n"/>
      <c r="L58" s="11" t="n"/>
      <c r="M58" s="12">
        <f>IF(OR(H58="",I58=""),"",(Profiles!$B$4*(Profiles!$B$10*H58+Profiles!$B$9*IF(J58="",H58,J58)+Profiles!$B$11*IF(K58="",H58,K58))+Profiles!$C$4*I58)/1000000+Profiles!$D$4*IF(L58="",0,L58))</f>
        <v/>
      </c>
      <c r="N58" s="12">
        <f>IF(OR(H58="",I58=""),"",(Profiles!$B$5*(Profiles!$B$10*H58+Profiles!$B$9*IF(J58="",H58,J58)+Profiles!$B$11*IF(K58="",H58,K58))+Profiles!$C$5*I58)/1000000+Profiles!$D$5*IF(L58="",0,L58))</f>
        <v/>
      </c>
      <c r="O58" s="12">
        <f>IF(OR(H58="",I58=""),"",(Profiles!$B$6*(Profiles!$B$10*H58+Profiles!$B$9*IF(J58="",H58,J58)+Profiles!$B$11*IF(K58="",H58,K58))+Profiles!$C$6*I58)/1000000+Profiles!$D$6*IF(L58="",0,L58))</f>
        <v/>
      </c>
      <c r="P58" s="12">
        <f>IF(OR(H58="",I58=""),"",(Profiles!$B$5*(Profiles!$B$10*H58+Profiles!$B$9*H58+Profiles!$B$11*H58)+Profiles!$C$5*I58)/1000000+Profiles!$D$5*IF(L58="",0,L58))</f>
        <v/>
      </c>
      <c r="Q58" t="inlineStr">
        <is>
          <t>2025-08-13</t>
        </is>
      </c>
    </row>
    <row r="59">
      <c r="A59" t="inlineStr">
        <is>
          <t>mistralai/mistral-medium-3</t>
        </is>
      </c>
      <c r="B59" t="inlineStr">
        <is>
          <t>Mistral: Mistral Medium 3</t>
        </is>
      </c>
      <c r="D59" t="inlineStr">
        <is>
          <t>yes</t>
        </is>
      </c>
      <c r="E59" t="inlineStr">
        <is>
          <t>yes</t>
        </is>
      </c>
      <c r="F59" s="10" t="n">
        <v>131072</v>
      </c>
      <c r="H59" s="11" t="n">
        <v>0.4</v>
      </c>
      <c r="I59" s="11" t="n">
        <v>2</v>
      </c>
      <c r="J59" s="11" t="n">
        <v>0.04</v>
      </c>
      <c r="K59" s="11" t="n"/>
      <c r="L59" s="11" t="n"/>
      <c r="M59" s="12">
        <f>IF(OR(H59="",I59=""),"",(Profiles!$B$4*(Profiles!$B$10*H59+Profiles!$B$9*IF(J59="",H59,J59)+Profiles!$B$11*IF(K59="",H59,K59))+Profiles!$C$4*I59)/1000000+Profiles!$D$4*IF(L59="",0,L59))</f>
        <v/>
      </c>
      <c r="N59" s="12">
        <f>IF(OR(H59="",I59=""),"",(Profiles!$B$5*(Profiles!$B$10*H59+Profiles!$B$9*IF(J59="",H59,J59)+Profiles!$B$11*IF(K59="",H59,K59))+Profiles!$C$5*I59)/1000000+Profiles!$D$5*IF(L59="",0,L59))</f>
        <v/>
      </c>
      <c r="O59" s="12">
        <f>IF(OR(H59="",I59=""),"",(Profiles!$B$6*(Profiles!$B$10*H59+Profiles!$B$9*IF(J59="",H59,J59)+Profiles!$B$11*IF(K59="",H59,K59))+Profiles!$C$6*I59)/1000000+Profiles!$D$6*IF(L59="",0,L59))</f>
        <v/>
      </c>
      <c r="P59" s="12">
        <f>IF(OR(H59="",I59=""),"",(Profiles!$B$5*(Profiles!$B$10*H59+Profiles!$B$9*H59+Profiles!$B$11*H59)+Profiles!$C$5*I59)/1000000+Profiles!$D$5*IF(L59="",0,L59))</f>
        <v/>
      </c>
      <c r="Q59" t="inlineStr">
        <is>
          <t>2025-05-07</t>
        </is>
      </c>
    </row>
    <row r="60">
      <c r="A60" t="inlineStr">
        <is>
          <t>minimax/minimax-m3</t>
        </is>
      </c>
      <c r="B60" t="inlineStr">
        <is>
          <t>MiniMax: MiniMax M3</t>
        </is>
      </c>
      <c r="D60" t="inlineStr">
        <is>
          <t>yes</t>
        </is>
      </c>
      <c r="E60" t="inlineStr">
        <is>
          <t>yes</t>
        </is>
      </c>
      <c r="F60" s="10" t="n">
        <v>1048576</v>
      </c>
      <c r="H60" s="11" t="n">
        <v>0.3</v>
      </c>
      <c r="I60" s="11" t="n">
        <v>1.2</v>
      </c>
      <c r="J60" s="11" t="n">
        <v>0.06</v>
      </c>
      <c r="K60" s="11" t="n"/>
      <c r="L60" s="11" t="n"/>
      <c r="M60" s="12">
        <f>IF(OR(H60="",I60=""),"",(Profiles!$B$4*(Profiles!$B$10*H60+Profiles!$B$9*IF(J60="",H60,J60)+Profiles!$B$11*IF(K60="",H60,K60))+Profiles!$C$4*I60)/1000000+Profiles!$D$4*IF(L60="",0,L60))</f>
        <v/>
      </c>
      <c r="N60" s="12">
        <f>IF(OR(H60="",I60=""),"",(Profiles!$B$5*(Profiles!$B$10*H60+Profiles!$B$9*IF(J60="",H60,J60)+Profiles!$B$11*IF(K60="",H60,K60))+Profiles!$C$5*I60)/1000000+Profiles!$D$5*IF(L60="",0,L60))</f>
        <v/>
      </c>
      <c r="O60" s="12">
        <f>IF(OR(H60="",I60=""),"",(Profiles!$B$6*(Profiles!$B$10*H60+Profiles!$B$9*IF(J60="",H60,J60)+Profiles!$B$11*IF(K60="",H60,K60))+Profiles!$C$6*I60)/1000000+Profiles!$D$6*IF(L60="",0,L60))</f>
        <v/>
      </c>
      <c r="P60" s="12">
        <f>IF(OR(H60="",I60=""),"",(Profiles!$B$5*(Profiles!$B$10*H60+Profiles!$B$9*H60+Profiles!$B$11*H60)+Profiles!$C$5*I60)/1000000+Profiles!$D$5*IF(L60="",0,L60))</f>
        <v/>
      </c>
      <c r="Q60" t="inlineStr">
        <is>
          <t>2026-05-31</t>
        </is>
      </c>
    </row>
    <row r="61">
      <c r="A61" t="inlineStr">
        <is>
          <t>mistralai/mistral-small-3.2-24b-instruct</t>
        </is>
      </c>
      <c r="B61" t="inlineStr">
        <is>
          <t>Mistral: Mistral Small 3.2 24B</t>
        </is>
      </c>
      <c r="D61" t="inlineStr">
        <is>
          <t>yes</t>
        </is>
      </c>
      <c r="E61" t="inlineStr">
        <is>
          <t>yes</t>
        </is>
      </c>
      <c r="F61" s="10" t="n">
        <v>256000</v>
      </c>
      <c r="H61" s="11" t="n">
        <v>0.09375</v>
      </c>
      <c r="I61" s="11" t="n">
        <v>0.25</v>
      </c>
      <c r="J61" s="11" t="n"/>
      <c r="K61" s="11" t="n"/>
      <c r="L61" s="11" t="n"/>
      <c r="M61" s="12">
        <f>IF(OR(H61="",I61=""),"",(Profiles!$B$4*(Profiles!$B$10*H61+Profiles!$B$9*IF(J61="",H61,J61)+Profiles!$B$11*IF(K61="",H61,K61))+Profiles!$C$4*I61)/1000000+Profiles!$D$4*IF(L61="",0,L61))</f>
        <v/>
      </c>
      <c r="N61" s="12">
        <f>IF(OR(H61="",I61=""),"",(Profiles!$B$5*(Profiles!$B$10*H61+Profiles!$B$9*IF(J61="",H61,J61)+Profiles!$B$11*IF(K61="",H61,K61))+Profiles!$C$5*I61)/1000000+Profiles!$D$5*IF(L61="",0,L61))</f>
        <v/>
      </c>
      <c r="O61" s="12">
        <f>IF(OR(H61="",I61=""),"",(Profiles!$B$6*(Profiles!$B$10*H61+Profiles!$B$9*IF(J61="",H61,J61)+Profiles!$B$11*IF(K61="",H61,K61))+Profiles!$C$6*I61)/1000000+Profiles!$D$6*IF(L61="",0,L61))</f>
        <v/>
      </c>
      <c r="P61" s="12">
        <f>IF(OR(H61="",I61=""),"",(Profiles!$B$5*(Profiles!$B$10*H61+Profiles!$B$9*H61+Profiles!$B$11*H61)+Profiles!$C$5*I61)/1000000+Profiles!$D$5*IF(L61="",0,L61))</f>
        <v/>
      </c>
      <c r="Q61" t="inlineStr">
        <is>
          <t>2025-06-20</t>
        </is>
      </c>
    </row>
    <row r="62">
      <c r="A62" t="inlineStr">
        <is>
          <t>rekaai/reka-edge</t>
        </is>
      </c>
      <c r="B62" t="inlineStr">
        <is>
          <t>Reka Edge</t>
        </is>
      </c>
      <c r="D62" t="inlineStr">
        <is>
          <t>yes</t>
        </is>
      </c>
      <c r="E62" t="inlineStr">
        <is>
          <t>yes</t>
        </is>
      </c>
      <c r="F62" s="10" t="n">
        <v>16384</v>
      </c>
      <c r="H62" s="11" t="n">
        <v>0.09999999999999999</v>
      </c>
      <c r="I62" s="11" t="n">
        <v>0.09999999999999999</v>
      </c>
      <c r="J62" s="11" t="n"/>
      <c r="K62" s="11" t="n"/>
      <c r="L62" s="11" t="n"/>
      <c r="M62" s="12">
        <f>IF(OR(H62="",I62=""),"",(Profiles!$B$4*(Profiles!$B$10*H62+Profiles!$B$9*IF(J62="",H62,J62)+Profiles!$B$11*IF(K62="",H62,K62))+Profiles!$C$4*I62)/1000000+Profiles!$D$4*IF(L62="",0,L62))</f>
        <v/>
      </c>
      <c r="N62" s="12">
        <f>IF(OR(H62="",I62=""),"",(Profiles!$B$5*(Profiles!$B$10*H62+Profiles!$B$9*IF(J62="",H62,J62)+Profiles!$B$11*IF(K62="",H62,K62))+Profiles!$C$5*I62)/1000000+Profiles!$D$5*IF(L62="",0,L62))</f>
        <v/>
      </c>
      <c r="O62" s="12">
        <f>IF(OR(H62="",I62=""),"",(Profiles!$B$6*(Profiles!$B$10*H62+Profiles!$B$9*IF(J62="",H62,J62)+Profiles!$B$11*IF(K62="",H62,K62))+Profiles!$C$6*I62)/1000000+Profiles!$D$6*IF(L62="",0,L62))</f>
        <v/>
      </c>
      <c r="P62" s="12">
        <f>IF(OR(H62="",I62=""),"",(Profiles!$B$5*(Profiles!$B$10*H62+Profiles!$B$9*H62+Profiles!$B$11*H62)+Profiles!$C$5*I62)/1000000+Profiles!$D$5*IF(L62="",0,L62))</f>
        <v/>
      </c>
      <c r="Q62" t="inlineStr">
        <is>
          <t>2026-03-20</t>
        </is>
      </c>
    </row>
    <row r="63">
      <c r="A63" t="inlineStr">
        <is>
          <t>qwen/qwen3.5-9b</t>
        </is>
      </c>
      <c r="B63" t="inlineStr">
        <is>
          <t>Qwen: Qwen3.5-9B</t>
        </is>
      </c>
      <c r="D63" t="inlineStr">
        <is>
          <t>yes</t>
        </is>
      </c>
      <c r="E63" t="inlineStr">
        <is>
          <t>yes</t>
        </is>
      </c>
      <c r="F63" s="10" t="n">
        <v>262144</v>
      </c>
      <c r="H63" s="11" t="n">
        <v>0.09999999999999999</v>
      </c>
      <c r="I63" s="11" t="n">
        <v>0.15</v>
      </c>
      <c r="J63" s="11" t="n"/>
      <c r="K63" s="11" t="n"/>
      <c r="L63" s="11" t="n"/>
      <c r="M63" s="12">
        <f>IF(OR(H63="",I63=""),"",(Profiles!$B$4*(Profiles!$B$10*H63+Profiles!$B$9*IF(J63="",H63,J63)+Profiles!$B$11*IF(K63="",H63,K63))+Profiles!$C$4*I63)/1000000+Profiles!$D$4*IF(L63="",0,L63))</f>
        <v/>
      </c>
      <c r="N63" s="12">
        <f>IF(OR(H63="",I63=""),"",(Profiles!$B$5*(Profiles!$B$10*H63+Profiles!$B$9*IF(J63="",H63,J63)+Profiles!$B$11*IF(K63="",H63,K63))+Profiles!$C$5*I63)/1000000+Profiles!$D$5*IF(L63="",0,L63))</f>
        <v/>
      </c>
      <c r="O63" s="12">
        <f>IF(OR(H63="",I63=""),"",(Profiles!$B$6*(Profiles!$B$10*H63+Profiles!$B$9*IF(J63="",H63,J63)+Profiles!$B$11*IF(K63="",H63,K63))+Profiles!$C$6*I63)/1000000+Profiles!$D$6*IF(L63="",0,L63))</f>
        <v/>
      </c>
      <c r="P63" s="12">
        <f>IF(OR(H63="",I63=""),"",(Profiles!$B$5*(Profiles!$B$10*H63+Profiles!$B$9*H63+Profiles!$B$11*H63)+Profiles!$C$5*I63)/1000000+Profiles!$D$5*IF(L63="",0,L63))</f>
        <v/>
      </c>
      <c r="Q63" t="inlineStr">
        <is>
          <t>2026-03-10</t>
        </is>
      </c>
    </row>
    <row r="64">
      <c r="A64" t="inlineStr">
        <is>
          <t>qwen/qwen3.7-plus</t>
        </is>
      </c>
      <c r="B64" t="inlineStr">
        <is>
          <t>Qwen: Qwen3.7 Plus</t>
        </is>
      </c>
      <c r="D64" t="inlineStr">
        <is>
          <t>yes</t>
        </is>
      </c>
      <c r="E64" t="inlineStr">
        <is>
          <t>yes</t>
        </is>
      </c>
      <c r="F64" s="10" t="n">
        <v>1000000</v>
      </c>
      <c r="H64" s="11" t="n">
        <v>0.32</v>
      </c>
      <c r="I64" s="11" t="n">
        <v>1.28</v>
      </c>
      <c r="J64" s="11" t="n">
        <v>0.064</v>
      </c>
      <c r="K64" s="11" t="n">
        <v>0.4</v>
      </c>
      <c r="L64" s="11" t="n"/>
      <c r="M64" s="12">
        <f>IF(OR(H64="",I64=""),"",(Profiles!$B$4*(Profiles!$B$10*H64+Profiles!$B$9*IF(J64="",H64,J64)+Profiles!$B$11*IF(K64="",H64,K64))+Profiles!$C$4*I64)/1000000+Profiles!$D$4*IF(L64="",0,L64))</f>
        <v/>
      </c>
      <c r="N64" s="12">
        <f>IF(OR(H64="",I64=""),"",(Profiles!$B$5*(Profiles!$B$10*H64+Profiles!$B$9*IF(J64="",H64,J64)+Profiles!$B$11*IF(K64="",H64,K64))+Profiles!$C$5*I64)/1000000+Profiles!$D$5*IF(L64="",0,L64))</f>
        <v/>
      </c>
      <c r="O64" s="12">
        <f>IF(OR(H64="",I64=""),"",(Profiles!$B$6*(Profiles!$B$10*H64+Profiles!$B$9*IF(J64="",H64,J64)+Profiles!$B$11*IF(K64="",H64,K64))+Profiles!$C$6*I64)/1000000+Profiles!$D$6*IF(L64="",0,L64))</f>
        <v/>
      </c>
      <c r="P64" s="12">
        <f>IF(OR(H64="",I64=""),"",(Profiles!$B$5*(Profiles!$B$10*H64+Profiles!$B$9*H64+Profiles!$B$11*H64)+Profiles!$C$5*I64)/1000000+Profiles!$D$5*IF(L64="",0,L64))</f>
        <v/>
      </c>
      <c r="Q64" t="inlineStr">
        <is>
          <t>2026-06-03</t>
        </is>
      </c>
    </row>
    <row r="65">
      <c r="A65" t="inlineStr">
        <is>
          <t>meta-llama/llama-4-scout</t>
        </is>
      </c>
      <c r="B65" t="inlineStr">
        <is>
          <t>Meta: Llama 4 Scout</t>
        </is>
      </c>
      <c r="D65" t="inlineStr">
        <is>
          <t>yes</t>
        </is>
      </c>
      <c r="E65" t="inlineStr">
        <is>
          <t>yes</t>
        </is>
      </c>
      <c r="F65" s="10" t="n">
        <v>1310720</v>
      </c>
      <c r="H65" s="11" t="n">
        <v>0.09999999999999999</v>
      </c>
      <c r="I65" s="11" t="n">
        <v>0.3</v>
      </c>
      <c r="J65" s="11" t="n"/>
      <c r="K65" s="11" t="n"/>
      <c r="L65" s="11" t="n"/>
      <c r="M65" s="12">
        <f>IF(OR(H65="",I65=""),"",(Profiles!$B$4*(Profiles!$B$10*H65+Profiles!$B$9*IF(J65="",H65,J65)+Profiles!$B$11*IF(K65="",H65,K65))+Profiles!$C$4*I65)/1000000+Profiles!$D$4*IF(L65="",0,L65))</f>
        <v/>
      </c>
      <c r="N65" s="12">
        <f>IF(OR(H65="",I65=""),"",(Profiles!$B$5*(Profiles!$B$10*H65+Profiles!$B$9*IF(J65="",H65,J65)+Profiles!$B$11*IF(K65="",H65,K65))+Profiles!$C$5*I65)/1000000+Profiles!$D$5*IF(L65="",0,L65))</f>
        <v/>
      </c>
      <c r="O65" s="12">
        <f>IF(OR(H65="",I65=""),"",(Profiles!$B$6*(Profiles!$B$10*H65+Profiles!$B$9*IF(J65="",H65,J65)+Profiles!$B$11*IF(K65="",H65,K65))+Profiles!$C$6*I65)/1000000+Profiles!$D$6*IF(L65="",0,L65))</f>
        <v/>
      </c>
      <c r="P65" s="12">
        <f>IF(OR(H65="",I65=""),"",(Profiles!$B$5*(Profiles!$B$10*H65+Profiles!$B$9*H65+Profiles!$B$11*H65)+Profiles!$C$5*I65)/1000000+Profiles!$D$5*IF(L65="",0,L65))</f>
        <v/>
      </c>
      <c r="Q65" t="inlineStr">
        <is>
          <t>2025-04-05</t>
        </is>
      </c>
    </row>
    <row r="66">
      <c r="A66" t="inlineStr">
        <is>
          <t>bytedance-seed/seed-2.0-mini</t>
        </is>
      </c>
      <c r="B66" t="inlineStr">
        <is>
          <t>ByteDance Seed: Seed-2.0-Mini</t>
        </is>
      </c>
      <c r="D66" t="inlineStr">
        <is>
          <t>yes</t>
        </is>
      </c>
      <c r="E66" t="inlineStr">
        <is>
          <t>yes</t>
        </is>
      </c>
      <c r="F66" s="10" t="n">
        <v>262144</v>
      </c>
      <c r="H66" s="11" t="n">
        <v>0.09999999999999999</v>
      </c>
      <c r="I66" s="11" t="n">
        <v>0.4</v>
      </c>
      <c r="J66" s="11" t="n"/>
      <c r="K66" s="11" t="n"/>
      <c r="L66" s="11" t="n"/>
      <c r="M66" s="12">
        <f>IF(OR(H66="",I66=""),"",(Profiles!$B$4*(Profiles!$B$10*H66+Profiles!$B$9*IF(J66="",H66,J66)+Profiles!$B$11*IF(K66="",H66,K66))+Profiles!$C$4*I66)/1000000+Profiles!$D$4*IF(L66="",0,L66))</f>
        <v/>
      </c>
      <c r="N66" s="12">
        <f>IF(OR(H66="",I66=""),"",(Profiles!$B$5*(Profiles!$B$10*H66+Profiles!$B$9*IF(J66="",H66,J66)+Profiles!$B$11*IF(K66="",H66,K66))+Profiles!$C$5*I66)/1000000+Profiles!$D$5*IF(L66="",0,L66))</f>
        <v/>
      </c>
      <c r="O66" s="12">
        <f>IF(OR(H66="",I66=""),"",(Profiles!$B$6*(Profiles!$B$10*H66+Profiles!$B$9*IF(J66="",H66,J66)+Profiles!$B$11*IF(K66="",H66,K66))+Profiles!$C$6*I66)/1000000+Profiles!$D$6*IF(L66="",0,L66))</f>
        <v/>
      </c>
      <c r="P66" s="12">
        <f>IF(OR(H66="",I66=""),"",(Profiles!$B$5*(Profiles!$B$10*H66+Profiles!$B$9*H66+Profiles!$B$11*H66)+Profiles!$C$5*I66)/1000000+Profiles!$D$5*IF(L66="",0,L66))</f>
        <v/>
      </c>
      <c r="Q66" t="inlineStr">
        <is>
          <t>2026-02-26</t>
        </is>
      </c>
    </row>
    <row r="67">
      <c r="A67" t="inlineStr">
        <is>
          <t>google/gemini-3-flash-preview</t>
        </is>
      </c>
      <c r="B67" t="inlineStr">
        <is>
          <t>Google: Gemini 3 Flash Preview</t>
        </is>
      </c>
      <c r="D67" t="inlineStr">
        <is>
          <t>yes</t>
        </is>
      </c>
      <c r="E67" t="inlineStr">
        <is>
          <t>yes</t>
        </is>
      </c>
      <c r="F67" s="10" t="n">
        <v>1048576</v>
      </c>
      <c r="H67" s="11" t="n">
        <v>0.5</v>
      </c>
      <c r="I67" s="11" t="n">
        <v>3</v>
      </c>
      <c r="J67" s="11" t="n">
        <v>0.05</v>
      </c>
      <c r="K67" s="11" t="n">
        <v>0.0833333333333333</v>
      </c>
      <c r="L67" s="11" t="n">
        <v>5e-07</v>
      </c>
      <c r="M67" s="12">
        <f>IF(OR(H67="",I67=""),"",(Profiles!$B$4*(Profiles!$B$10*H67+Profiles!$B$9*IF(J67="",H67,J67)+Profiles!$B$11*IF(K67="",H67,K67))+Profiles!$C$4*I67)/1000000+Profiles!$D$4*IF(L67="",0,L67))</f>
        <v/>
      </c>
      <c r="N67" s="12">
        <f>IF(OR(H67="",I67=""),"",(Profiles!$B$5*(Profiles!$B$10*H67+Profiles!$B$9*IF(J67="",H67,J67)+Profiles!$B$11*IF(K67="",H67,K67))+Profiles!$C$5*I67)/1000000+Profiles!$D$5*IF(L67="",0,L67))</f>
        <v/>
      </c>
      <c r="O67" s="12">
        <f>IF(OR(H67="",I67=""),"",(Profiles!$B$6*(Profiles!$B$10*H67+Profiles!$B$9*IF(J67="",H67,J67)+Profiles!$B$11*IF(K67="",H67,K67))+Profiles!$C$6*I67)/1000000+Profiles!$D$6*IF(L67="",0,L67))</f>
        <v/>
      </c>
      <c r="P67" s="12">
        <f>IF(OR(H67="",I67=""),"",(Profiles!$B$5*(Profiles!$B$10*H67+Profiles!$B$9*H67+Profiles!$B$11*H67)+Profiles!$C$5*I67)/1000000+Profiles!$D$5*IF(L67="",0,L67))</f>
        <v/>
      </c>
      <c r="Q67" t="inlineStr">
        <is>
          <t>2025-12-17</t>
        </is>
      </c>
    </row>
    <row r="68">
      <c r="A68" t="inlineStr">
        <is>
          <t>qwen/qwen3-vl-32b-instruct</t>
        </is>
      </c>
      <c r="B68" t="inlineStr">
        <is>
          <t>Qwen: Qwen3 VL 32B Instruct</t>
        </is>
      </c>
      <c r="D68" t="inlineStr">
        <is>
          <t>yes</t>
        </is>
      </c>
      <c r="E68" t="inlineStr">
        <is>
          <t>yes</t>
        </is>
      </c>
      <c r="F68" s="10" t="n">
        <v>131072</v>
      </c>
      <c r="H68" s="11" t="n">
        <v>0.104</v>
      </c>
      <c r="I68" s="11" t="n">
        <v>0.416</v>
      </c>
      <c r="J68" s="11" t="n"/>
      <c r="K68" s="11" t="n"/>
      <c r="L68" s="11" t="n"/>
      <c r="M68" s="12">
        <f>IF(OR(H68="",I68=""),"",(Profiles!$B$4*(Profiles!$B$10*H68+Profiles!$B$9*IF(J68="",H68,J68)+Profiles!$B$11*IF(K68="",H68,K68))+Profiles!$C$4*I68)/1000000+Profiles!$D$4*IF(L68="",0,L68))</f>
        <v/>
      </c>
      <c r="N68" s="12">
        <f>IF(OR(H68="",I68=""),"",(Profiles!$B$5*(Profiles!$B$10*H68+Profiles!$B$9*IF(J68="",H68,J68)+Profiles!$B$11*IF(K68="",H68,K68))+Profiles!$C$5*I68)/1000000+Profiles!$D$5*IF(L68="",0,L68))</f>
        <v/>
      </c>
      <c r="O68" s="12">
        <f>IF(OR(H68="",I68=""),"",(Profiles!$B$6*(Profiles!$B$10*H68+Profiles!$B$9*IF(J68="",H68,J68)+Profiles!$B$11*IF(K68="",H68,K68))+Profiles!$C$6*I68)/1000000+Profiles!$D$6*IF(L68="",0,L68))</f>
        <v/>
      </c>
      <c r="P68" s="12">
        <f>IF(OR(H68="",I68=""),"",(Profiles!$B$5*(Profiles!$B$10*H68+Profiles!$B$9*H68+Profiles!$B$11*H68)+Profiles!$C$5*I68)/1000000+Profiles!$D$5*IF(L68="",0,L68))</f>
        <v/>
      </c>
      <c r="Q68" t="inlineStr">
        <is>
          <t>2025-10-23</t>
        </is>
      </c>
      <c r="R68" t="inlineStr">
        <is>
          <t>2026-10-09</t>
        </is>
      </c>
    </row>
    <row r="69">
      <c r="A69" t="inlineStr">
        <is>
          <t>mistralai/mistral-large-2512</t>
        </is>
      </c>
      <c r="B69" t="inlineStr">
        <is>
          <t>Mistral: Mistral Large 3 2512</t>
        </is>
      </c>
      <c r="D69" t="inlineStr">
        <is>
          <t>yes</t>
        </is>
      </c>
      <c r="E69" t="inlineStr">
        <is>
          <t>yes</t>
        </is>
      </c>
      <c r="F69" s="10" t="n">
        <v>262144</v>
      </c>
      <c r="H69" s="11" t="n">
        <v>0.5</v>
      </c>
      <c r="I69" s="11" t="n">
        <v>1.5</v>
      </c>
      <c r="J69" s="11" t="n">
        <v>0.05</v>
      </c>
      <c r="K69" s="11" t="n"/>
      <c r="L69" s="11" t="n"/>
      <c r="M69" s="12">
        <f>IF(OR(H69="",I69=""),"",(Profiles!$B$4*(Profiles!$B$10*H69+Profiles!$B$9*IF(J69="",H69,J69)+Profiles!$B$11*IF(K69="",H69,K69))+Profiles!$C$4*I69)/1000000+Profiles!$D$4*IF(L69="",0,L69))</f>
        <v/>
      </c>
      <c r="N69" s="12">
        <f>IF(OR(H69="",I69=""),"",(Profiles!$B$5*(Profiles!$B$10*H69+Profiles!$B$9*IF(J69="",H69,J69)+Profiles!$B$11*IF(K69="",H69,K69))+Profiles!$C$5*I69)/1000000+Profiles!$D$5*IF(L69="",0,L69))</f>
        <v/>
      </c>
      <c r="O69" s="12">
        <f>IF(OR(H69="",I69=""),"",(Profiles!$B$6*(Profiles!$B$10*H69+Profiles!$B$9*IF(J69="",H69,J69)+Profiles!$B$11*IF(K69="",H69,K69))+Profiles!$C$6*I69)/1000000+Profiles!$D$6*IF(L69="",0,L69))</f>
        <v/>
      </c>
      <c r="P69" s="12">
        <f>IF(OR(H69="",I69=""),"",(Profiles!$B$5*(Profiles!$B$10*H69+Profiles!$B$9*H69+Profiles!$B$11*H69)+Profiles!$C$5*I69)/1000000+Profiles!$D$5*IF(L69="",0,L69))</f>
        <v/>
      </c>
      <c r="Q69" t="inlineStr">
        <is>
          <t>2025-12-01</t>
        </is>
      </c>
    </row>
    <row r="70">
      <c r="A70" t="inlineStr">
        <is>
          <t>qwen/qwen3-vl-8b-instruct</t>
        </is>
      </c>
      <c r="B70" t="inlineStr">
        <is>
          <t>Qwen: Qwen3 VL 8B Instruct</t>
        </is>
      </c>
      <c r="D70" t="inlineStr">
        <is>
          <t>yes</t>
        </is>
      </c>
      <c r="E70" t="inlineStr">
        <is>
          <t>yes</t>
        </is>
      </c>
      <c r="F70" s="10" t="n">
        <v>262144</v>
      </c>
      <c r="H70" s="11" t="n">
        <v>0.117</v>
      </c>
      <c r="I70" s="11" t="n">
        <v>0.455</v>
      </c>
      <c r="J70" s="11" t="n"/>
      <c r="K70" s="11" t="n"/>
      <c r="L70" s="11" t="n"/>
      <c r="M70" s="12">
        <f>IF(OR(H70="",I70=""),"",(Profiles!$B$4*(Profiles!$B$10*H70+Profiles!$B$9*IF(J70="",H70,J70)+Profiles!$B$11*IF(K70="",H70,K70))+Profiles!$C$4*I70)/1000000+Profiles!$D$4*IF(L70="",0,L70))</f>
        <v/>
      </c>
      <c r="N70" s="12">
        <f>IF(OR(H70="",I70=""),"",(Profiles!$B$5*(Profiles!$B$10*H70+Profiles!$B$9*IF(J70="",H70,J70)+Profiles!$B$11*IF(K70="",H70,K70))+Profiles!$C$5*I70)/1000000+Profiles!$D$5*IF(L70="",0,L70))</f>
        <v/>
      </c>
      <c r="O70" s="12">
        <f>IF(OR(H70="",I70=""),"",(Profiles!$B$6*(Profiles!$B$10*H70+Profiles!$B$9*IF(J70="",H70,J70)+Profiles!$B$11*IF(K70="",H70,K70))+Profiles!$C$6*I70)/1000000+Profiles!$D$6*IF(L70="",0,L70))</f>
        <v/>
      </c>
      <c r="P70" s="12">
        <f>IF(OR(H70="",I70=""),"",(Profiles!$B$5*(Profiles!$B$10*H70+Profiles!$B$9*H70+Profiles!$B$11*H70)+Profiles!$C$5*I70)/1000000+Profiles!$D$5*IF(L70="",0,L70))</f>
        <v/>
      </c>
      <c r="Q70" t="inlineStr">
        <is>
          <t>2025-10-14</t>
        </is>
      </c>
      <c r="R70" t="inlineStr">
        <is>
          <t>2026-10-09</t>
        </is>
      </c>
    </row>
    <row r="71">
      <c r="A71" t="inlineStr">
        <is>
          <t>qwen/qwen3-vl-235b-a22b-instruct</t>
        </is>
      </c>
      <c r="B71" t="inlineStr">
        <is>
          <t>Qwen: Qwen3 VL 235B A22B Instruct</t>
        </is>
      </c>
      <c r="D71" t="inlineStr">
        <is>
          <t>yes</t>
        </is>
      </c>
      <c r="E71" t="inlineStr">
        <is>
          <t>yes</t>
        </is>
      </c>
      <c r="F71" s="10" t="n">
        <v>262144</v>
      </c>
      <c r="H71" s="11" t="n">
        <v>0.21</v>
      </c>
      <c r="I71" s="11" t="n">
        <v>1.9</v>
      </c>
      <c r="J71" s="11" t="n">
        <v>0.09999999999999999</v>
      </c>
      <c r="K71" s="11" t="n"/>
      <c r="L71" s="11" t="n"/>
      <c r="M71" s="12">
        <f>IF(OR(H71="",I71=""),"",(Profiles!$B$4*(Profiles!$B$10*H71+Profiles!$B$9*IF(J71="",H71,J71)+Profiles!$B$11*IF(K71="",H71,K71))+Profiles!$C$4*I71)/1000000+Profiles!$D$4*IF(L71="",0,L71))</f>
        <v/>
      </c>
      <c r="N71" s="12">
        <f>IF(OR(H71="",I71=""),"",(Profiles!$B$5*(Profiles!$B$10*H71+Profiles!$B$9*IF(J71="",H71,J71)+Profiles!$B$11*IF(K71="",H71,K71))+Profiles!$C$5*I71)/1000000+Profiles!$D$5*IF(L71="",0,L71))</f>
        <v/>
      </c>
      <c r="O71" s="12">
        <f>IF(OR(H71="",I71=""),"",(Profiles!$B$6*(Profiles!$B$10*H71+Profiles!$B$9*IF(J71="",H71,J71)+Profiles!$B$11*IF(K71="",H71,K71))+Profiles!$C$6*I71)/1000000+Profiles!$D$6*IF(L71="",0,L71))</f>
        <v/>
      </c>
      <c r="P71" s="12">
        <f>IF(OR(H71="",I71=""),"",(Profiles!$B$5*(Profiles!$B$10*H71+Profiles!$B$9*H71+Profiles!$B$11*H71)+Profiles!$C$5*I71)/1000000+Profiles!$D$5*IF(L71="",0,L71))</f>
        <v/>
      </c>
      <c r="Q71" t="inlineStr">
        <is>
          <t>2025-09-24</t>
        </is>
      </c>
    </row>
    <row r="72">
      <c r="A72" t="inlineStr">
        <is>
          <t>moonshotai/kimi-k2.5</t>
        </is>
      </c>
      <c r="B72" t="inlineStr">
        <is>
          <t>MoonshotAI: Kimi K2.5</t>
        </is>
      </c>
      <c r="D72" t="inlineStr">
        <is>
          <t>yes</t>
        </is>
      </c>
      <c r="E72" t="inlineStr">
        <is>
          <t>yes</t>
        </is>
      </c>
      <c r="F72" s="10" t="n">
        <v>262144</v>
      </c>
      <c r="H72" s="11" t="n">
        <v>0.45</v>
      </c>
      <c r="I72" s="11" t="n">
        <v>2.25</v>
      </c>
      <c r="J72" s="11" t="n">
        <v>0.07000000000000001</v>
      </c>
      <c r="K72" s="11" t="n"/>
      <c r="L72" s="11" t="n"/>
      <c r="M72" s="12">
        <f>IF(OR(H72="",I72=""),"",(Profiles!$B$4*(Profiles!$B$10*H72+Profiles!$B$9*IF(J72="",H72,J72)+Profiles!$B$11*IF(K72="",H72,K72))+Profiles!$C$4*I72)/1000000+Profiles!$D$4*IF(L72="",0,L72))</f>
        <v/>
      </c>
      <c r="N72" s="12">
        <f>IF(OR(H72="",I72=""),"",(Profiles!$B$5*(Profiles!$B$10*H72+Profiles!$B$9*IF(J72="",H72,J72)+Profiles!$B$11*IF(K72="",H72,K72))+Profiles!$C$5*I72)/1000000+Profiles!$D$5*IF(L72="",0,L72))</f>
        <v/>
      </c>
      <c r="O72" s="12">
        <f>IF(OR(H72="",I72=""),"",(Profiles!$B$6*(Profiles!$B$10*H72+Profiles!$B$9*IF(J72="",H72,J72)+Profiles!$B$11*IF(K72="",H72,K72))+Profiles!$C$6*I72)/1000000+Profiles!$D$6*IF(L72="",0,L72))</f>
        <v/>
      </c>
      <c r="P72" s="12">
        <f>IF(OR(H72="",I72=""),"",(Profiles!$B$5*(Profiles!$B$10*H72+Profiles!$B$9*H72+Profiles!$B$11*H72)+Profiles!$C$5*I72)/1000000+Profiles!$D$5*IF(L72="",0,L72))</f>
        <v/>
      </c>
      <c r="Q72" t="inlineStr">
        <is>
          <t>2026-01-27</t>
        </is>
      </c>
    </row>
    <row r="73">
      <c r="A73" t="inlineStr">
        <is>
          <t>z-ai/glm-5.3-flashx</t>
        </is>
      </c>
      <c r="B73" t="inlineStr">
        <is>
          <t>Z.ai: GLM 5.3 FlashX</t>
        </is>
      </c>
      <c r="D73" t="inlineStr">
        <is>
          <t>yes</t>
        </is>
      </c>
      <c r="E73" t="inlineStr">
        <is>
          <t>yes</t>
        </is>
      </c>
      <c r="F73" s="10" t="n">
        <v>1048576</v>
      </c>
      <c r="H73" s="11" t="n">
        <v>0.37</v>
      </c>
      <c r="I73" s="11" t="n">
        <v>1.25</v>
      </c>
      <c r="J73" s="11" t="n">
        <v>0.09</v>
      </c>
      <c r="K73" s="11" t="n"/>
      <c r="L73" s="11" t="n"/>
      <c r="M73" s="12">
        <f>IF(OR(H73="",I73=""),"",(Profiles!$B$4*(Profiles!$B$10*H73+Profiles!$B$9*IF(J73="",H73,J73)+Profiles!$B$11*IF(K73="",H73,K73))+Profiles!$C$4*I73)/1000000+Profiles!$D$4*IF(L73="",0,L73))</f>
        <v/>
      </c>
      <c r="N73" s="12">
        <f>IF(OR(H73="",I73=""),"",(Profiles!$B$5*(Profiles!$B$10*H73+Profiles!$B$9*IF(J73="",H73,J73)+Profiles!$B$11*IF(K73="",H73,K73))+Profiles!$C$5*I73)/1000000+Profiles!$D$5*IF(L73="",0,L73))</f>
        <v/>
      </c>
      <c r="O73" s="12">
        <f>IF(OR(H73="",I73=""),"",(Profiles!$B$6*(Profiles!$B$10*H73+Profiles!$B$9*IF(J73="",H73,J73)+Profiles!$B$11*IF(K73="",H73,K73))+Profiles!$C$6*I73)/1000000+Profiles!$D$6*IF(L73="",0,L73))</f>
        <v/>
      </c>
      <c r="P73" s="12">
        <f>IF(OR(H73="",I73=""),"",(Profiles!$B$5*(Profiles!$B$10*H73+Profiles!$B$9*H73+Profiles!$B$11*H73)+Profiles!$C$5*I73)/1000000+Profiles!$D$5*IF(L73="",0,L73))</f>
        <v/>
      </c>
      <c r="Q73" t="inlineStr">
        <is>
          <t>2026-09-18</t>
        </is>
      </c>
    </row>
    <row r="74">
      <c r="A74" t="inlineStr">
        <is>
          <t>qwen/qwen3.8-27b</t>
        </is>
      </c>
      <c r="B74" t="inlineStr">
        <is>
          <t>Qwen: Qwen3.8 27B</t>
        </is>
      </c>
      <c r="D74" t="inlineStr">
        <is>
          <t>yes</t>
        </is>
      </c>
      <c r="E74" t="inlineStr">
        <is>
          <t>yes</t>
        </is>
      </c>
      <c r="F74" s="10" t="n">
        <v>1000000</v>
      </c>
      <c r="H74" s="11" t="n">
        <v>0.42</v>
      </c>
      <c r="I74" s="11" t="n">
        <v>3</v>
      </c>
      <c r="J74" s="11" t="n">
        <v>0.08499999999999999</v>
      </c>
      <c r="K74" s="11" t="n"/>
      <c r="L74" s="11" t="n"/>
      <c r="M74" s="12">
        <f>IF(OR(H74="",I74=""),"",(Profiles!$B$4*(Profiles!$B$10*H74+Profiles!$B$9*IF(J74="",H74,J74)+Profiles!$B$11*IF(K74="",H74,K74))+Profiles!$C$4*I74)/1000000+Profiles!$D$4*IF(L74="",0,L74))</f>
        <v/>
      </c>
      <c r="N74" s="12">
        <f>IF(OR(H74="",I74=""),"",(Profiles!$B$5*(Profiles!$B$10*H74+Profiles!$B$9*IF(J74="",H74,J74)+Profiles!$B$11*IF(K74="",H74,K74))+Profiles!$C$5*I74)/1000000+Profiles!$D$5*IF(L74="",0,L74))</f>
        <v/>
      </c>
      <c r="O74" s="12">
        <f>IF(OR(H74="",I74=""),"",(Profiles!$B$6*(Profiles!$B$10*H74+Profiles!$B$9*IF(J74="",H74,J74)+Profiles!$B$11*IF(K74="",H74,K74))+Profiles!$C$6*I74)/1000000+Profiles!$D$6*IF(L74="",0,L74))</f>
        <v/>
      </c>
      <c r="P74" s="12">
        <f>IF(OR(H74="",I74=""),"",(Profiles!$B$5*(Profiles!$B$10*H74+Profiles!$B$9*H74+Profiles!$B$11*H74)+Profiles!$C$5*I74)/1000000+Profiles!$D$5*IF(L74="",0,L74))</f>
        <v/>
      </c>
      <c r="Q74" t="inlineStr">
        <is>
          <t>2026-08-14</t>
        </is>
      </c>
    </row>
    <row r="75">
      <c r="A75" t="inlineStr">
        <is>
          <t>openai/gpt-4.1-mini</t>
        </is>
      </c>
      <c r="B75" t="inlineStr">
        <is>
          <t>OpenAI: GPT-4.1 Mini</t>
        </is>
      </c>
      <c r="D75" t="inlineStr">
        <is>
          <t>yes</t>
        </is>
      </c>
      <c r="E75" t="inlineStr">
        <is>
          <t>yes</t>
        </is>
      </c>
      <c r="F75" s="10" t="n">
        <v>1047576</v>
      </c>
      <c r="H75" s="11" t="n">
        <v>0.4</v>
      </c>
      <c r="I75" s="11" t="n">
        <v>1.6</v>
      </c>
      <c r="J75" s="11" t="n">
        <v>0.09999999999999999</v>
      </c>
      <c r="K75" s="11" t="n"/>
      <c r="L75" s="11" t="n"/>
      <c r="M75" s="12">
        <f>IF(OR(H75="",I75=""),"",(Profiles!$B$4*(Profiles!$B$10*H75+Profiles!$B$9*IF(J75="",H75,J75)+Profiles!$B$11*IF(K75="",H75,K75))+Profiles!$C$4*I75)/1000000+Profiles!$D$4*IF(L75="",0,L75))</f>
        <v/>
      </c>
      <c r="N75" s="12">
        <f>IF(OR(H75="",I75=""),"",(Profiles!$B$5*(Profiles!$B$10*H75+Profiles!$B$9*IF(J75="",H75,J75)+Profiles!$B$11*IF(K75="",H75,K75))+Profiles!$C$5*I75)/1000000+Profiles!$D$5*IF(L75="",0,L75))</f>
        <v/>
      </c>
      <c r="O75" s="12">
        <f>IF(OR(H75="",I75=""),"",(Profiles!$B$6*(Profiles!$B$10*H75+Profiles!$B$9*IF(J75="",H75,J75)+Profiles!$B$11*IF(K75="",H75,K75))+Profiles!$C$6*I75)/1000000+Profiles!$D$6*IF(L75="",0,L75))</f>
        <v/>
      </c>
      <c r="P75" s="12">
        <f>IF(OR(H75="",I75=""),"",(Profiles!$B$5*(Profiles!$B$10*H75+Profiles!$B$9*H75+Profiles!$B$11*H75)+Profiles!$C$5*I75)/1000000+Profiles!$D$5*IF(L75="",0,L75))</f>
        <v/>
      </c>
      <c r="Q75" t="inlineStr">
        <is>
          <t>2025-04-14</t>
        </is>
      </c>
    </row>
    <row r="76">
      <c r="A76" t="inlineStr">
        <is>
          <t>thinkingmachines/inkling-small</t>
        </is>
      </c>
      <c r="B76" t="inlineStr">
        <is>
          <t>Thinking Machines: Inkling Small</t>
        </is>
      </c>
      <c r="D76" t="inlineStr">
        <is>
          <t>yes</t>
        </is>
      </c>
      <c r="E76" t="inlineStr">
        <is>
          <t>yes</t>
        </is>
      </c>
      <c r="F76" s="10" t="n">
        <v>524288</v>
      </c>
      <c r="H76" s="11" t="n">
        <v>0.45</v>
      </c>
      <c r="I76" s="11" t="n">
        <v>1.2</v>
      </c>
      <c r="J76" s="11" t="n">
        <v>0.09999999999999999</v>
      </c>
      <c r="K76" s="11" t="n"/>
      <c r="L76" s="11" t="n"/>
      <c r="M76" s="12">
        <f>IF(OR(H76="",I76=""),"",(Profiles!$B$4*(Profiles!$B$10*H76+Profiles!$B$9*IF(J76="",H76,J76)+Profiles!$B$11*IF(K76="",H76,K76))+Profiles!$C$4*I76)/1000000+Profiles!$D$4*IF(L76="",0,L76))</f>
        <v/>
      </c>
      <c r="N76" s="12">
        <f>IF(OR(H76="",I76=""),"",(Profiles!$B$5*(Profiles!$B$10*H76+Profiles!$B$9*IF(J76="",H76,J76)+Profiles!$B$11*IF(K76="",H76,K76))+Profiles!$C$5*I76)/1000000+Profiles!$D$5*IF(L76="",0,L76))</f>
        <v/>
      </c>
      <c r="O76" s="12">
        <f>IF(OR(H76="",I76=""),"",(Profiles!$B$6*(Profiles!$B$10*H76+Profiles!$B$9*IF(J76="",H76,J76)+Profiles!$B$11*IF(K76="",H76,K76))+Profiles!$C$6*I76)/1000000+Profiles!$D$6*IF(L76="",0,L76))</f>
        <v/>
      </c>
      <c r="P76" s="12">
        <f>IF(OR(H76="",I76=""),"",(Profiles!$B$5*(Profiles!$B$10*H76+Profiles!$B$9*H76+Profiles!$B$11*H76)+Profiles!$C$5*I76)/1000000+Profiles!$D$5*IF(L76="",0,L76))</f>
        <v/>
      </c>
      <c r="Q76" t="inlineStr">
        <is>
          <t>2026-07-30</t>
        </is>
      </c>
    </row>
    <row r="77">
      <c r="A77" s="6" t="inlineStr">
        <is>
          <t>google/gemini-3.8-flash</t>
        </is>
      </c>
      <c r="B77" s="6" t="inlineStr">
        <is>
          <t>Google: Gemini 3.8 Flash</t>
        </is>
      </c>
      <c r="C77" s="6" t="inlineStr">
        <is>
          <t>r11, r16, r18, r19</t>
        </is>
      </c>
      <c r="D77" s="6" t="inlineStr">
        <is>
          <t>yes</t>
        </is>
      </c>
      <c r="E77" s="6" t="inlineStr">
        <is>
          <t>yes</t>
        </is>
      </c>
      <c r="F77" s="7" t="n">
        <v>1048576</v>
      </c>
      <c r="G77" s="6" t="inlineStr"/>
      <c r="H77" s="8" t="n">
        <v>0.75</v>
      </c>
      <c r="I77" s="8" t="n">
        <v>3.75</v>
      </c>
      <c r="J77" s="8" t="n">
        <v>0.075</v>
      </c>
      <c r="K77" s="8" t="n">
        <v>0.0416666666666667</v>
      </c>
      <c r="L77" s="8" t="n">
        <v>7.5e-07</v>
      </c>
      <c r="M77" s="9">
        <f>IF(OR(H77="",I77=""),"",(Profiles!$B$4*(Profiles!$B$10*H77+Profiles!$B$9*IF(J77="",H77,J77)+Profiles!$B$11*IF(K77="",H77,K77))+Profiles!$C$4*I77)/1000000+Profiles!$D$4*IF(L77="",0,L77))</f>
        <v/>
      </c>
      <c r="N77" s="9">
        <f>IF(OR(H77="",I77=""),"",(Profiles!$B$5*(Profiles!$B$10*H77+Profiles!$B$9*IF(J77="",H77,J77)+Profiles!$B$11*IF(K77="",H77,K77))+Profiles!$C$5*I77)/1000000+Profiles!$D$5*IF(L77="",0,L77))</f>
        <v/>
      </c>
      <c r="O77" s="9">
        <f>IF(OR(H77="",I77=""),"",(Profiles!$B$6*(Profiles!$B$10*H77+Profiles!$B$9*IF(J77="",H77,J77)+Profiles!$B$11*IF(K77="",H77,K77))+Profiles!$C$6*I77)/1000000+Profiles!$D$6*IF(L77="",0,L77))</f>
        <v/>
      </c>
      <c r="P77" s="9">
        <f>IF(OR(H77="",I77=""),"",(Profiles!$B$5*(Profiles!$B$10*H77+Profiles!$B$9*H77+Profiles!$B$11*H77)+Profiles!$C$5*I77)/1000000+Profiles!$D$5*IF(L77="",0,L77))</f>
        <v/>
      </c>
      <c r="Q77" s="6" t="inlineStr">
        <is>
          <t>2026-09-02</t>
        </is>
      </c>
      <c r="R77" s="6" t="inlineStr"/>
    </row>
    <row r="78">
      <c r="A78" t="inlineStr">
        <is>
          <t>google/gemini-3.7-flash</t>
        </is>
      </c>
      <c r="B78" t="inlineStr">
        <is>
          <t>Google: Gemini 3.7 Flash</t>
        </is>
      </c>
      <c r="D78" t="inlineStr">
        <is>
          <t>yes</t>
        </is>
      </c>
      <c r="E78" t="inlineStr">
        <is>
          <t>yes</t>
        </is>
      </c>
      <c r="F78" s="10" t="n">
        <v>1048576</v>
      </c>
      <c r="H78" s="11" t="n">
        <v>0.75</v>
      </c>
      <c r="I78" s="11" t="n">
        <v>3.75</v>
      </c>
      <c r="J78" s="11" t="n">
        <v>0.075</v>
      </c>
      <c r="K78" s="11" t="n">
        <v>0.0416666666666667</v>
      </c>
      <c r="L78" s="11" t="n">
        <v>7.5e-07</v>
      </c>
      <c r="M78" s="12">
        <f>IF(OR(H78="",I78=""),"",(Profiles!$B$4*(Profiles!$B$10*H78+Profiles!$B$9*IF(J78="",H78,J78)+Profiles!$B$11*IF(K78="",H78,K78))+Profiles!$C$4*I78)/1000000+Profiles!$D$4*IF(L78="",0,L78))</f>
        <v/>
      </c>
      <c r="N78" s="12">
        <f>IF(OR(H78="",I78=""),"",(Profiles!$B$5*(Profiles!$B$10*H78+Profiles!$B$9*IF(J78="",H78,J78)+Profiles!$B$11*IF(K78="",H78,K78))+Profiles!$C$5*I78)/1000000+Profiles!$D$5*IF(L78="",0,L78))</f>
        <v/>
      </c>
      <c r="O78" s="12">
        <f>IF(OR(H78="",I78=""),"",(Profiles!$B$6*(Profiles!$B$10*H78+Profiles!$B$9*IF(J78="",H78,J78)+Profiles!$B$11*IF(K78="",H78,K78))+Profiles!$C$6*I78)/1000000+Profiles!$D$6*IF(L78="",0,L78))</f>
        <v/>
      </c>
      <c r="P78" s="12">
        <f>IF(OR(H78="",I78=""),"",(Profiles!$B$5*(Profiles!$B$10*H78+Profiles!$B$9*H78+Profiles!$B$11*H78)+Profiles!$C$5*I78)/1000000+Profiles!$D$5*IF(L78="",0,L78))</f>
        <v/>
      </c>
      <c r="Q78" t="inlineStr">
        <is>
          <t>2026-08-13</t>
        </is>
      </c>
    </row>
    <row r="79">
      <c r="A79" t="inlineStr">
        <is>
          <t>google/gemini-3.6-flash</t>
        </is>
      </c>
      <c r="B79" t="inlineStr">
        <is>
          <t>Google: Gemini 3.6 Flash</t>
        </is>
      </c>
      <c r="D79" t="inlineStr">
        <is>
          <t>yes</t>
        </is>
      </c>
      <c r="E79" t="inlineStr">
        <is>
          <t>yes</t>
        </is>
      </c>
      <c r="F79" s="10" t="n">
        <v>1048576</v>
      </c>
      <c r="H79" s="11" t="n">
        <v>0.75</v>
      </c>
      <c r="I79" s="11" t="n">
        <v>3.75</v>
      </c>
      <c r="J79" s="11" t="n">
        <v>0.075</v>
      </c>
      <c r="K79" s="11" t="n">
        <v>0.0416666666666667</v>
      </c>
      <c r="L79" s="11" t="n">
        <v>7.5e-07</v>
      </c>
      <c r="M79" s="12">
        <f>IF(OR(H79="",I79=""),"",(Profiles!$B$4*(Profiles!$B$10*H79+Profiles!$B$9*IF(J79="",H79,J79)+Profiles!$B$11*IF(K79="",H79,K79))+Profiles!$C$4*I79)/1000000+Profiles!$D$4*IF(L79="",0,L79))</f>
        <v/>
      </c>
      <c r="N79" s="12">
        <f>IF(OR(H79="",I79=""),"",(Profiles!$B$5*(Profiles!$B$10*H79+Profiles!$B$9*IF(J79="",H79,J79)+Profiles!$B$11*IF(K79="",H79,K79))+Profiles!$C$5*I79)/1000000+Profiles!$D$5*IF(L79="",0,L79))</f>
        <v/>
      </c>
      <c r="O79" s="12">
        <f>IF(OR(H79="",I79=""),"",(Profiles!$B$6*(Profiles!$B$10*H79+Profiles!$B$9*IF(J79="",H79,J79)+Profiles!$B$11*IF(K79="",H79,K79))+Profiles!$C$6*I79)/1000000+Profiles!$D$6*IF(L79="",0,L79))</f>
        <v/>
      </c>
      <c r="P79" s="12">
        <f>IF(OR(H79="",I79=""),"",(Profiles!$B$5*(Profiles!$B$10*H79+Profiles!$B$9*H79+Profiles!$B$11*H79)+Profiles!$C$5*I79)/1000000+Profiles!$D$5*IF(L79="",0,L79))</f>
        <v/>
      </c>
      <c r="Q79" t="inlineStr">
        <is>
          <t>2026-07-21</t>
        </is>
      </c>
    </row>
    <row r="80">
      <c r="A80" t="inlineStr">
        <is>
          <t>~google/gemini-flash-latest</t>
        </is>
      </c>
      <c r="B80" t="inlineStr">
        <is>
          <t>Google: Gemini Flash Latest</t>
        </is>
      </c>
      <c r="D80" t="inlineStr">
        <is>
          <t>yes</t>
        </is>
      </c>
      <c r="E80" t="inlineStr">
        <is>
          <t>yes</t>
        </is>
      </c>
      <c r="F80" s="10" t="n">
        <v>1048576</v>
      </c>
      <c r="G80" t="inlineStr">
        <is>
          <t>alias (latest)</t>
        </is>
      </c>
      <c r="H80" s="11" t="n">
        <v>0.75</v>
      </c>
      <c r="I80" s="11" t="n">
        <v>3.75</v>
      </c>
      <c r="J80" s="11" t="n">
        <v>0.075</v>
      </c>
      <c r="K80" s="11" t="n">
        <v>0.0416666666666667</v>
      </c>
      <c r="L80" s="11" t="n">
        <v>7.5e-07</v>
      </c>
      <c r="M80" s="12">
        <f>IF(OR(H80="",I80=""),"",(Profiles!$B$4*(Profiles!$B$10*H80+Profiles!$B$9*IF(J80="",H80,J80)+Profiles!$B$11*IF(K80="",H80,K80))+Profiles!$C$4*I80)/1000000+Profiles!$D$4*IF(L80="",0,L80))</f>
        <v/>
      </c>
      <c r="N80" s="12">
        <f>IF(OR(H80="",I80=""),"",(Profiles!$B$5*(Profiles!$B$10*H80+Profiles!$B$9*IF(J80="",H80,J80)+Profiles!$B$11*IF(K80="",H80,K80))+Profiles!$C$5*I80)/1000000+Profiles!$D$5*IF(L80="",0,L80))</f>
        <v/>
      </c>
      <c r="O80" s="12">
        <f>IF(OR(H80="",I80=""),"",(Profiles!$B$6*(Profiles!$B$10*H80+Profiles!$B$9*IF(J80="",H80,J80)+Profiles!$B$11*IF(K80="",H80,K80))+Profiles!$C$6*I80)/1000000+Profiles!$D$6*IF(L80="",0,L80))</f>
        <v/>
      </c>
      <c r="P80" s="12">
        <f>IF(OR(H80="",I80=""),"",(Profiles!$B$5*(Profiles!$B$10*H80+Profiles!$B$9*H80+Profiles!$B$11*H80)+Profiles!$C$5*I80)/1000000+Profiles!$D$5*IF(L80="",0,L80))</f>
        <v/>
      </c>
      <c r="Q80" t="inlineStr">
        <is>
          <t>2026-04-27</t>
        </is>
      </c>
    </row>
    <row r="81">
      <c r="A81" t="inlineStr">
        <is>
          <t>qwen/qwen3-vl-30b-a3b-instruct</t>
        </is>
      </c>
      <c r="B81" t="inlineStr">
        <is>
          <t>Qwen: Qwen3 VL 30B A3B Instruct</t>
        </is>
      </c>
      <c r="D81" t="inlineStr">
        <is>
          <t>yes</t>
        </is>
      </c>
      <c r="E81" t="inlineStr">
        <is>
          <t>yes</t>
        </is>
      </c>
      <c r="F81" s="10" t="n">
        <v>262144</v>
      </c>
      <c r="H81" s="11" t="n">
        <v>0.15</v>
      </c>
      <c r="I81" s="11" t="n">
        <v>0.6</v>
      </c>
      <c r="J81" s="11" t="n"/>
      <c r="K81" s="11" t="n"/>
      <c r="L81" s="11" t="n"/>
      <c r="M81" s="12">
        <f>IF(OR(H81="",I81=""),"",(Profiles!$B$4*(Profiles!$B$10*H81+Profiles!$B$9*IF(J81="",H81,J81)+Profiles!$B$11*IF(K81="",H81,K81))+Profiles!$C$4*I81)/1000000+Profiles!$D$4*IF(L81="",0,L81))</f>
        <v/>
      </c>
      <c r="N81" s="12">
        <f>IF(OR(H81="",I81=""),"",(Profiles!$B$5*(Profiles!$B$10*H81+Profiles!$B$9*IF(J81="",H81,J81)+Profiles!$B$11*IF(K81="",H81,K81))+Profiles!$C$5*I81)/1000000+Profiles!$D$5*IF(L81="",0,L81))</f>
        <v/>
      </c>
      <c r="O81" s="12">
        <f>IF(OR(H81="",I81=""),"",(Profiles!$B$6*(Profiles!$B$10*H81+Profiles!$B$9*IF(J81="",H81,J81)+Profiles!$B$11*IF(K81="",H81,K81))+Profiles!$C$6*I81)/1000000+Profiles!$D$6*IF(L81="",0,L81))</f>
        <v/>
      </c>
      <c r="P81" s="12">
        <f>IF(OR(H81="",I81=""),"",(Profiles!$B$5*(Profiles!$B$10*H81+Profiles!$B$9*H81+Profiles!$B$11*H81)+Profiles!$C$5*I81)/1000000+Profiles!$D$5*IF(L81="",0,L81))</f>
        <v/>
      </c>
      <c r="Q81" t="inlineStr">
        <is>
          <t>2025-10-07</t>
        </is>
      </c>
    </row>
    <row r="82">
      <c r="A82" t="inlineStr">
        <is>
          <t>perceptron/perceptron-mk1.5</t>
        </is>
      </c>
      <c r="B82" t="inlineStr">
        <is>
          <t>Perceptron: Perceptron Mk1.5</t>
        </is>
      </c>
      <c r="D82" t="inlineStr">
        <is>
          <t>yes</t>
        </is>
      </c>
      <c r="E82" t="inlineStr">
        <is>
          <t>yes</t>
        </is>
      </c>
      <c r="F82" s="10" t="n">
        <v>36864</v>
      </c>
      <c r="H82" s="11" t="n">
        <v>0.15</v>
      </c>
      <c r="I82" s="11" t="n">
        <v>1.5</v>
      </c>
      <c r="J82" s="11" t="n"/>
      <c r="K82" s="11" t="n"/>
      <c r="L82" s="11" t="n"/>
      <c r="M82" s="12">
        <f>IF(OR(H82="",I82=""),"",(Profiles!$B$4*(Profiles!$B$10*H82+Profiles!$B$9*IF(J82="",H82,J82)+Profiles!$B$11*IF(K82="",H82,K82))+Profiles!$C$4*I82)/1000000+Profiles!$D$4*IF(L82="",0,L82))</f>
        <v/>
      </c>
      <c r="N82" s="12">
        <f>IF(OR(H82="",I82=""),"",(Profiles!$B$5*(Profiles!$B$10*H82+Profiles!$B$9*IF(J82="",H82,J82)+Profiles!$B$11*IF(K82="",H82,K82))+Profiles!$C$5*I82)/1000000+Profiles!$D$5*IF(L82="",0,L82))</f>
        <v/>
      </c>
      <c r="O82" s="12">
        <f>IF(OR(H82="",I82=""),"",(Profiles!$B$6*(Profiles!$B$10*H82+Profiles!$B$9*IF(J82="",H82,J82)+Profiles!$B$11*IF(K82="",H82,K82))+Profiles!$C$6*I82)/1000000+Profiles!$D$6*IF(L82="",0,L82))</f>
        <v/>
      </c>
      <c r="P82" s="12">
        <f>IF(OR(H82="",I82=""),"",(Profiles!$B$5*(Profiles!$B$10*H82+Profiles!$B$9*H82+Profiles!$B$11*H82)+Profiles!$C$5*I82)/1000000+Profiles!$D$5*IF(L82="",0,L82))</f>
        <v/>
      </c>
      <c r="Q82" t="inlineStr">
        <is>
          <t>2026-09-25</t>
        </is>
      </c>
    </row>
    <row r="83">
      <c r="A83" t="inlineStr">
        <is>
          <t>qwen/qwen3.5-35b-a3b</t>
        </is>
      </c>
      <c r="B83" t="inlineStr">
        <is>
          <t>Qwen: Qwen3.5-35B-A3B</t>
        </is>
      </c>
      <c r="D83" t="inlineStr">
        <is>
          <t>yes</t>
        </is>
      </c>
      <c r="E83" t="inlineStr">
        <is>
          <t>yes</t>
        </is>
      </c>
      <c r="F83" s="10" t="n">
        <v>262144</v>
      </c>
      <c r="H83" s="11" t="n">
        <v>0.1625</v>
      </c>
      <c r="I83" s="11" t="n">
        <v>1.3</v>
      </c>
      <c r="J83" s="11" t="n"/>
      <c r="K83" s="11" t="n"/>
      <c r="L83" s="11" t="n"/>
      <c r="M83" s="12">
        <f>IF(OR(H83="",I83=""),"",(Profiles!$B$4*(Profiles!$B$10*H83+Profiles!$B$9*IF(J83="",H83,J83)+Profiles!$B$11*IF(K83="",H83,K83))+Profiles!$C$4*I83)/1000000+Profiles!$D$4*IF(L83="",0,L83))</f>
        <v/>
      </c>
      <c r="N83" s="12">
        <f>IF(OR(H83="",I83=""),"",(Profiles!$B$5*(Profiles!$B$10*H83+Profiles!$B$9*IF(J83="",H83,J83)+Profiles!$B$11*IF(K83="",H83,K83))+Profiles!$C$5*I83)/1000000+Profiles!$D$5*IF(L83="",0,L83))</f>
        <v/>
      </c>
      <c r="O83" s="12">
        <f>IF(OR(H83="",I83=""),"",(Profiles!$B$6*(Profiles!$B$10*H83+Profiles!$B$9*IF(J83="",H83,J83)+Profiles!$B$11*IF(K83="",H83,K83))+Profiles!$C$6*I83)/1000000+Profiles!$D$6*IF(L83="",0,L83))</f>
        <v/>
      </c>
      <c r="P83" s="12">
        <f>IF(OR(H83="",I83=""),"",(Profiles!$B$5*(Profiles!$B$10*H83+Profiles!$B$9*H83+Profiles!$B$11*H83)+Profiles!$C$5*I83)/1000000+Profiles!$D$5*IF(L83="",0,L83))</f>
        <v/>
      </c>
      <c r="Q83" t="inlineStr">
        <is>
          <t>2026-02-25</t>
        </is>
      </c>
    </row>
    <row r="84">
      <c r="A84" t="inlineStr">
        <is>
          <t>z-ai/glm-4.5v</t>
        </is>
      </c>
      <c r="B84" t="inlineStr">
        <is>
          <t>Z.ai: GLM 4.5V</t>
        </is>
      </c>
      <c r="D84" t="inlineStr">
        <is>
          <t>yes</t>
        </is>
      </c>
      <c r="E84" t="inlineStr">
        <is>
          <t>yes</t>
        </is>
      </c>
      <c r="F84" s="10" t="n">
        <v>65536</v>
      </c>
      <c r="H84" s="11" t="n">
        <v>0.6</v>
      </c>
      <c r="I84" s="11" t="n">
        <v>1.8</v>
      </c>
      <c r="J84" s="11" t="n">
        <v>0.11</v>
      </c>
      <c r="K84" s="11" t="n"/>
      <c r="L84" s="11" t="n"/>
      <c r="M84" s="12">
        <f>IF(OR(H84="",I84=""),"",(Profiles!$B$4*(Profiles!$B$10*H84+Profiles!$B$9*IF(J84="",H84,J84)+Profiles!$B$11*IF(K84="",H84,K84))+Profiles!$C$4*I84)/1000000+Profiles!$D$4*IF(L84="",0,L84))</f>
        <v/>
      </c>
      <c r="N84" s="12">
        <f>IF(OR(H84="",I84=""),"",(Profiles!$B$5*(Profiles!$B$10*H84+Profiles!$B$9*IF(J84="",H84,J84)+Profiles!$B$11*IF(K84="",H84,K84))+Profiles!$C$5*I84)/1000000+Profiles!$D$5*IF(L84="",0,L84))</f>
        <v/>
      </c>
      <c r="O84" s="12">
        <f>IF(OR(H84="",I84=""),"",(Profiles!$B$6*(Profiles!$B$10*H84+Profiles!$B$9*IF(J84="",H84,J84)+Profiles!$B$11*IF(K84="",H84,K84))+Profiles!$C$6*I84)/1000000+Profiles!$D$6*IF(L84="",0,L84))</f>
        <v/>
      </c>
      <c r="P84" s="12">
        <f>IF(OR(H84="",I84=""),"",(Profiles!$B$5*(Profiles!$B$10*H84+Profiles!$B$9*H84+Profiles!$B$11*H84)+Profiles!$C$5*I84)/1000000+Profiles!$D$5*IF(L84="",0,L84))</f>
        <v/>
      </c>
      <c r="Q84" t="inlineStr">
        <is>
          <t>2025-08-11</t>
        </is>
      </c>
    </row>
    <row r="85">
      <c r="A85" t="inlineStr">
        <is>
          <t>~openai/gpt-mini-latest</t>
        </is>
      </c>
      <c r="B85" t="inlineStr">
        <is>
          <t>OpenAI: GPT Mini Latest</t>
        </is>
      </c>
      <c r="D85" t="inlineStr">
        <is>
          <t>yes</t>
        </is>
      </c>
      <c r="E85" t="inlineStr">
        <is>
          <t>yes</t>
        </is>
      </c>
      <c r="F85" s="10" t="n">
        <v>400000</v>
      </c>
      <c r="G85" t="inlineStr">
        <is>
          <t>alias (latest)</t>
        </is>
      </c>
      <c r="H85" s="11" t="n">
        <v>0.75</v>
      </c>
      <c r="I85" s="11" t="n">
        <v>4.5</v>
      </c>
      <c r="J85" s="11" t="n">
        <v>0.075</v>
      </c>
      <c r="K85" s="11" t="n"/>
      <c r="L85" s="11" t="n"/>
      <c r="M85" s="12">
        <f>IF(OR(H85="",I85=""),"",(Profiles!$B$4*(Profiles!$B$10*H85+Profiles!$B$9*IF(J85="",H85,J85)+Profiles!$B$11*IF(K85="",H85,K85))+Profiles!$C$4*I85)/1000000+Profiles!$D$4*IF(L85="",0,L85))</f>
        <v/>
      </c>
      <c r="N85" s="12">
        <f>IF(OR(H85="",I85=""),"",(Profiles!$B$5*(Profiles!$B$10*H85+Profiles!$B$9*IF(J85="",H85,J85)+Profiles!$B$11*IF(K85="",H85,K85))+Profiles!$C$5*I85)/1000000+Profiles!$D$5*IF(L85="",0,L85))</f>
        <v/>
      </c>
      <c r="O85" s="12">
        <f>IF(OR(H85="",I85=""),"",(Profiles!$B$6*(Profiles!$B$10*H85+Profiles!$B$9*IF(J85="",H85,J85)+Profiles!$B$11*IF(K85="",H85,K85))+Profiles!$C$6*I85)/1000000+Profiles!$D$6*IF(L85="",0,L85))</f>
        <v/>
      </c>
      <c r="P85" s="12">
        <f>IF(OR(H85="",I85=""),"",(Profiles!$B$5*(Profiles!$B$10*H85+Profiles!$B$9*H85+Profiles!$B$11*H85)+Profiles!$C$5*I85)/1000000+Profiles!$D$5*IF(L85="",0,L85))</f>
        <v/>
      </c>
      <c r="Q85" t="inlineStr">
        <is>
          <t>2026-04-27</t>
        </is>
      </c>
    </row>
    <row r="86">
      <c r="A86" t="inlineStr">
        <is>
          <t>openai/gpt-5.4-mini</t>
        </is>
      </c>
      <c r="B86" t="inlineStr">
        <is>
          <t>OpenAI: GPT-5.4 Mini</t>
        </is>
      </c>
      <c r="D86" t="inlineStr">
        <is>
          <t>yes</t>
        </is>
      </c>
      <c r="E86" t="inlineStr">
        <is>
          <t>yes</t>
        </is>
      </c>
      <c r="F86" s="10" t="n">
        <v>400000</v>
      </c>
      <c r="H86" s="11" t="n">
        <v>0.75</v>
      </c>
      <c r="I86" s="11" t="n">
        <v>4.5</v>
      </c>
      <c r="J86" s="11" t="n">
        <v>0.075</v>
      </c>
      <c r="K86" s="11" t="n"/>
      <c r="L86" s="11" t="n"/>
      <c r="M86" s="12">
        <f>IF(OR(H86="",I86=""),"",(Profiles!$B$4*(Profiles!$B$10*H86+Profiles!$B$9*IF(J86="",H86,J86)+Profiles!$B$11*IF(K86="",H86,K86))+Profiles!$C$4*I86)/1000000+Profiles!$D$4*IF(L86="",0,L86))</f>
        <v/>
      </c>
      <c r="N86" s="12">
        <f>IF(OR(H86="",I86=""),"",(Profiles!$B$5*(Profiles!$B$10*H86+Profiles!$B$9*IF(J86="",H86,J86)+Profiles!$B$11*IF(K86="",H86,K86))+Profiles!$C$5*I86)/1000000+Profiles!$D$5*IF(L86="",0,L86))</f>
        <v/>
      </c>
      <c r="O86" s="12">
        <f>IF(OR(H86="",I86=""),"",(Profiles!$B$6*(Profiles!$B$10*H86+Profiles!$B$9*IF(J86="",H86,J86)+Profiles!$B$11*IF(K86="",H86,K86))+Profiles!$C$6*I86)/1000000+Profiles!$D$6*IF(L86="",0,L86))</f>
        <v/>
      </c>
      <c r="P86" s="12">
        <f>IF(OR(H86="",I86=""),"",(Profiles!$B$5*(Profiles!$B$10*H86+Profiles!$B$9*H86+Profiles!$B$11*H86)+Profiles!$C$5*I86)/1000000+Profiles!$D$5*IF(L86="",0,L86))</f>
        <v/>
      </c>
      <c r="Q86" t="inlineStr">
        <is>
          <t>2026-03-17</t>
        </is>
      </c>
    </row>
    <row r="87">
      <c r="A87" t="inlineStr">
        <is>
          <t>cohere/command-a-plus</t>
        </is>
      </c>
      <c r="B87" t="inlineStr">
        <is>
          <t>Cohere: Command A+</t>
        </is>
      </c>
      <c r="D87" t="inlineStr">
        <is>
          <t>yes</t>
        </is>
      </c>
      <c r="E87" t="inlineStr">
        <is>
          <t>yes</t>
        </is>
      </c>
      <c r="F87" s="10" t="n">
        <v>192000</v>
      </c>
      <c r="H87" s="11" t="n">
        <v>0.3</v>
      </c>
      <c r="I87" s="11" t="n">
        <v>1.5</v>
      </c>
      <c r="J87" s="11" t="n">
        <v>0.15</v>
      </c>
      <c r="K87" s="11" t="n"/>
      <c r="L87" s="11" t="n"/>
      <c r="M87" s="12">
        <f>IF(OR(H87="",I87=""),"",(Profiles!$B$4*(Profiles!$B$10*H87+Profiles!$B$9*IF(J87="",H87,J87)+Profiles!$B$11*IF(K87="",H87,K87))+Profiles!$C$4*I87)/1000000+Profiles!$D$4*IF(L87="",0,L87))</f>
        <v/>
      </c>
      <c r="N87" s="12">
        <f>IF(OR(H87="",I87=""),"",(Profiles!$B$5*(Profiles!$B$10*H87+Profiles!$B$9*IF(J87="",H87,J87)+Profiles!$B$11*IF(K87="",H87,K87))+Profiles!$C$5*I87)/1000000+Profiles!$D$5*IF(L87="",0,L87))</f>
        <v/>
      </c>
      <c r="O87" s="12">
        <f>IF(OR(H87="",I87=""),"",(Profiles!$B$6*(Profiles!$B$10*H87+Profiles!$B$9*IF(J87="",H87,J87)+Profiles!$B$11*IF(K87="",H87,K87))+Profiles!$C$6*I87)/1000000+Profiles!$D$6*IF(L87="",0,L87))</f>
        <v/>
      </c>
      <c r="P87" s="12">
        <f>IF(OR(H87="",I87=""),"",(Profiles!$B$5*(Profiles!$B$10*H87+Profiles!$B$9*H87+Profiles!$B$11*H87)+Profiles!$C$5*I87)/1000000+Profiles!$D$5*IF(L87="",0,L87))</f>
        <v/>
      </c>
      <c r="Q87" t="inlineStr">
        <is>
          <t>2026-09-22</t>
        </is>
      </c>
    </row>
    <row r="88">
      <c r="A88" t="inlineStr">
        <is>
          <t>meta-llama/llama-4-maverick</t>
        </is>
      </c>
      <c r="B88" t="inlineStr">
        <is>
          <t>Meta: Llama 4 Maverick</t>
        </is>
      </c>
      <c r="D88" t="inlineStr">
        <is>
          <t>yes</t>
        </is>
      </c>
      <c r="E88" t="inlineStr">
        <is>
          <t>yes</t>
        </is>
      </c>
      <c r="F88" s="10" t="n">
        <v>1048576</v>
      </c>
      <c r="H88" s="11" t="n">
        <v>0.1875</v>
      </c>
      <c r="I88" s="11" t="n">
        <v>0.6525</v>
      </c>
      <c r="J88" s="11" t="n"/>
      <c r="K88" s="11" t="n"/>
      <c r="L88" s="11" t="n"/>
      <c r="M88" s="12">
        <f>IF(OR(H88="",I88=""),"",(Profiles!$B$4*(Profiles!$B$10*H88+Profiles!$B$9*IF(J88="",H88,J88)+Profiles!$B$11*IF(K88="",H88,K88))+Profiles!$C$4*I88)/1000000+Profiles!$D$4*IF(L88="",0,L88))</f>
        <v/>
      </c>
      <c r="N88" s="12">
        <f>IF(OR(H88="",I88=""),"",(Profiles!$B$5*(Profiles!$B$10*H88+Profiles!$B$9*IF(J88="",H88,J88)+Profiles!$B$11*IF(K88="",H88,K88))+Profiles!$C$5*I88)/1000000+Profiles!$D$5*IF(L88="",0,L88))</f>
        <v/>
      </c>
      <c r="O88" s="12">
        <f>IF(OR(H88="",I88=""),"",(Profiles!$B$6*(Profiles!$B$10*H88+Profiles!$B$9*IF(J88="",H88,J88)+Profiles!$B$11*IF(K88="",H88,K88))+Profiles!$C$6*I88)/1000000+Profiles!$D$6*IF(L88="",0,L88))</f>
        <v/>
      </c>
      <c r="P88" s="12">
        <f>IF(OR(H88="",I88=""),"",(Profiles!$B$5*(Profiles!$B$10*H88+Profiles!$B$9*H88+Profiles!$B$11*H88)+Profiles!$C$5*I88)/1000000+Profiles!$D$5*IF(L88="",0,L88))</f>
        <v/>
      </c>
      <c r="Q88" t="inlineStr">
        <is>
          <t>2025-04-05</t>
        </is>
      </c>
    </row>
    <row r="89">
      <c r="A89" t="inlineStr">
        <is>
          <t>qwen/qwen3-vl-8b-thinking</t>
        </is>
      </c>
      <c r="B89" t="inlineStr">
        <is>
          <t>Qwen: Qwen3 VL 8B Thinking</t>
        </is>
      </c>
      <c r="D89" t="inlineStr">
        <is>
          <t>yes</t>
        </is>
      </c>
      <c r="E89" t="inlineStr">
        <is>
          <t>yes</t>
        </is>
      </c>
      <c r="F89" s="10" t="n">
        <v>131072</v>
      </c>
      <c r="H89" s="11" t="n">
        <v>0.18</v>
      </c>
      <c r="I89" s="11" t="n">
        <v>2.1</v>
      </c>
      <c r="J89" s="11" t="n"/>
      <c r="K89" s="11" t="n"/>
      <c r="L89" s="11" t="n"/>
      <c r="M89" s="12">
        <f>IF(OR(H89="",I89=""),"",(Profiles!$B$4*(Profiles!$B$10*H89+Profiles!$B$9*IF(J89="",H89,J89)+Profiles!$B$11*IF(K89="",H89,K89))+Profiles!$C$4*I89)/1000000+Profiles!$D$4*IF(L89="",0,L89))</f>
        <v/>
      </c>
      <c r="N89" s="12">
        <f>IF(OR(H89="",I89=""),"",(Profiles!$B$5*(Profiles!$B$10*H89+Profiles!$B$9*IF(J89="",H89,J89)+Profiles!$B$11*IF(K89="",H89,K89))+Profiles!$C$5*I89)/1000000+Profiles!$D$5*IF(L89="",0,L89))</f>
        <v/>
      </c>
      <c r="O89" s="12">
        <f>IF(OR(H89="",I89=""),"",(Profiles!$B$6*(Profiles!$B$10*H89+Profiles!$B$9*IF(J89="",H89,J89)+Profiles!$B$11*IF(K89="",H89,K89))+Profiles!$C$6*I89)/1000000+Profiles!$D$6*IF(L89="",0,L89))</f>
        <v/>
      </c>
      <c r="P89" s="12">
        <f>IF(OR(H89="",I89=""),"",(Profiles!$B$5*(Profiles!$B$10*H89+Profiles!$B$9*H89+Profiles!$B$11*H89)+Profiles!$C$5*I89)/1000000+Profiles!$D$5*IF(L89="",0,L89))</f>
        <v/>
      </c>
      <c r="Q89" t="inlineStr">
        <is>
          <t>2025-10-14</t>
        </is>
      </c>
      <c r="R89" t="inlineStr">
        <is>
          <t>2026-10-09</t>
        </is>
      </c>
    </row>
    <row r="90">
      <c r="A90" t="inlineStr">
        <is>
          <t>qwen/qwen3.6-flash</t>
        </is>
      </c>
      <c r="B90" t="inlineStr">
        <is>
          <t>Qwen: Qwen3.6 Flash</t>
        </is>
      </c>
      <c r="D90" t="inlineStr">
        <is>
          <t>yes</t>
        </is>
      </c>
      <c r="E90" t="inlineStr">
        <is>
          <t>yes</t>
        </is>
      </c>
      <c r="F90" s="10" t="n">
        <v>1000000</v>
      </c>
      <c r="H90" s="11" t="n">
        <v>0.1875</v>
      </c>
      <c r="I90" s="11" t="n">
        <v>1.125</v>
      </c>
      <c r="J90" s="11" t="n"/>
      <c r="K90" s="11" t="n">
        <v>0.234375</v>
      </c>
      <c r="L90" s="11" t="n"/>
      <c r="M90" s="12">
        <f>IF(OR(H90="",I90=""),"",(Profiles!$B$4*(Profiles!$B$10*H90+Profiles!$B$9*IF(J90="",H90,J90)+Profiles!$B$11*IF(K90="",H90,K90))+Profiles!$C$4*I90)/1000000+Profiles!$D$4*IF(L90="",0,L90))</f>
        <v/>
      </c>
      <c r="N90" s="12">
        <f>IF(OR(H90="",I90=""),"",(Profiles!$B$5*(Profiles!$B$10*H90+Profiles!$B$9*IF(J90="",H90,J90)+Profiles!$B$11*IF(K90="",H90,K90))+Profiles!$C$5*I90)/1000000+Profiles!$D$5*IF(L90="",0,L90))</f>
        <v/>
      </c>
      <c r="O90" s="12">
        <f>IF(OR(H90="",I90=""),"",(Profiles!$B$6*(Profiles!$B$10*H90+Profiles!$B$9*IF(J90="",H90,J90)+Profiles!$B$11*IF(K90="",H90,K90))+Profiles!$C$6*I90)/1000000+Profiles!$D$6*IF(L90="",0,L90))</f>
        <v/>
      </c>
      <c r="P90" s="12">
        <f>IF(OR(H90="",I90=""),"",(Profiles!$B$5*(Profiles!$B$10*H90+Profiles!$B$9*H90+Profiles!$B$11*H90)+Profiles!$C$5*I90)/1000000+Profiles!$D$5*IF(L90="",0,L90))</f>
        <v/>
      </c>
      <c r="Q90" t="inlineStr">
        <is>
          <t>2026-04-27</t>
        </is>
      </c>
    </row>
    <row r="91">
      <c r="A91" t="inlineStr">
        <is>
          <t>qwen/qwen3.5-27b</t>
        </is>
      </c>
      <c r="B91" t="inlineStr">
        <is>
          <t>Qwen: Qwen3.5-27B</t>
        </is>
      </c>
      <c r="D91" t="inlineStr">
        <is>
          <t>yes</t>
        </is>
      </c>
      <c r="E91" t="inlineStr">
        <is>
          <t>yes</t>
        </is>
      </c>
      <c r="F91" s="10" t="n">
        <v>262144</v>
      </c>
      <c r="H91" s="11" t="n">
        <v>0.195</v>
      </c>
      <c r="I91" s="11" t="n">
        <v>1.56</v>
      </c>
      <c r="J91" s="11" t="n"/>
      <c r="K91" s="11" t="n"/>
      <c r="L91" s="11" t="n"/>
      <c r="M91" s="12">
        <f>IF(OR(H91="",I91=""),"",(Profiles!$B$4*(Profiles!$B$10*H91+Profiles!$B$9*IF(J91="",H91,J91)+Profiles!$B$11*IF(K91="",H91,K91))+Profiles!$C$4*I91)/1000000+Profiles!$D$4*IF(L91="",0,L91))</f>
        <v/>
      </c>
      <c r="N91" s="12">
        <f>IF(OR(H91="",I91=""),"",(Profiles!$B$5*(Profiles!$B$10*H91+Profiles!$B$9*IF(J91="",H91,J91)+Profiles!$B$11*IF(K91="",H91,K91))+Profiles!$C$5*I91)/1000000+Profiles!$D$5*IF(L91="",0,L91))</f>
        <v/>
      </c>
      <c r="O91" s="12">
        <f>IF(OR(H91="",I91=""),"",(Profiles!$B$6*(Profiles!$B$10*H91+Profiles!$B$9*IF(J91="",H91,J91)+Profiles!$B$11*IF(K91="",H91,K91))+Profiles!$C$6*I91)/1000000+Profiles!$D$6*IF(L91="",0,L91))</f>
        <v/>
      </c>
      <c r="P91" s="12">
        <f>IF(OR(H91="",I91=""),"",(Profiles!$B$5*(Profiles!$B$10*H91+Profiles!$B$9*H91+Profiles!$B$11*H91)+Profiles!$C$5*I91)/1000000+Profiles!$D$5*IF(L91="",0,L91))</f>
        <v/>
      </c>
      <c r="Q91" t="inlineStr">
        <is>
          <t>2026-02-25</t>
        </is>
      </c>
    </row>
    <row r="92">
      <c r="A92" t="inlineStr">
        <is>
          <t>qwen/qwen3-vl-30b-a3b-thinking</t>
        </is>
      </c>
      <c r="B92" t="inlineStr">
        <is>
          <t>Qwen: Qwen3 VL 30B A3B Thinking</t>
        </is>
      </c>
      <c r="D92" t="inlineStr">
        <is>
          <t>yes</t>
        </is>
      </c>
      <c r="E92" t="inlineStr">
        <is>
          <t>yes</t>
        </is>
      </c>
      <c r="F92" s="10" t="n">
        <v>262144</v>
      </c>
      <c r="H92" s="11" t="n">
        <v>0.2</v>
      </c>
      <c r="I92" s="11" t="n">
        <v>2.4</v>
      </c>
      <c r="J92" s="11" t="n"/>
      <c r="K92" s="11" t="n"/>
      <c r="L92" s="11" t="n"/>
      <c r="M92" s="12">
        <f>IF(OR(H92="",I92=""),"",(Profiles!$B$4*(Profiles!$B$10*H92+Profiles!$B$9*IF(J92="",H92,J92)+Profiles!$B$11*IF(K92="",H92,K92))+Profiles!$C$4*I92)/1000000+Profiles!$D$4*IF(L92="",0,L92))</f>
        <v/>
      </c>
      <c r="N92" s="12">
        <f>IF(OR(H92="",I92=""),"",(Profiles!$B$5*(Profiles!$B$10*H92+Profiles!$B$9*IF(J92="",H92,J92)+Profiles!$B$11*IF(K92="",H92,K92))+Profiles!$C$5*I92)/1000000+Profiles!$D$5*IF(L92="",0,L92))</f>
        <v/>
      </c>
      <c r="O92" s="12">
        <f>IF(OR(H92="",I92=""),"",(Profiles!$B$6*(Profiles!$B$10*H92+Profiles!$B$9*IF(J92="",H92,J92)+Profiles!$B$11*IF(K92="",H92,K92))+Profiles!$C$6*I92)/1000000+Profiles!$D$6*IF(L92="",0,L92))</f>
        <v/>
      </c>
      <c r="P92" s="12">
        <f>IF(OR(H92="",I92=""),"",(Profiles!$B$5*(Profiles!$B$10*H92+Profiles!$B$9*H92+Profiles!$B$11*H92)+Profiles!$C$5*I92)/1000000+Profiles!$D$5*IF(L92="",0,L92))</f>
        <v/>
      </c>
      <c r="Q92" t="inlineStr">
        <is>
          <t>2025-10-07</t>
        </is>
      </c>
      <c r="R92" t="inlineStr">
        <is>
          <t>2026-10-09</t>
        </is>
      </c>
    </row>
    <row r="93">
      <c r="A93" t="inlineStr">
        <is>
          <t>moonshotai/kimi-k2.6</t>
        </is>
      </c>
      <c r="B93" t="inlineStr">
        <is>
          <t>MoonshotAI: Kimi K2.6</t>
        </is>
      </c>
      <c r="D93" t="inlineStr">
        <is>
          <t>yes</t>
        </is>
      </c>
      <c r="E93" t="inlineStr">
        <is>
          <t>yes</t>
        </is>
      </c>
      <c r="F93" s="10" t="n">
        <v>262144</v>
      </c>
      <c r="H93" s="11" t="n">
        <v>0.65</v>
      </c>
      <c r="I93" s="11" t="n">
        <v>3.41</v>
      </c>
      <c r="J93" s="11" t="n">
        <v>0.15</v>
      </c>
      <c r="K93" s="11" t="n"/>
      <c r="L93" s="11" t="n"/>
      <c r="M93" s="12">
        <f>IF(OR(H93="",I93=""),"",(Profiles!$B$4*(Profiles!$B$10*H93+Profiles!$B$9*IF(J93="",H93,J93)+Profiles!$B$11*IF(K93="",H93,K93))+Profiles!$C$4*I93)/1000000+Profiles!$D$4*IF(L93="",0,L93))</f>
        <v/>
      </c>
      <c r="N93" s="12">
        <f>IF(OR(H93="",I93=""),"",(Profiles!$B$5*(Profiles!$B$10*H93+Profiles!$B$9*IF(J93="",H93,J93)+Profiles!$B$11*IF(K93="",H93,K93))+Profiles!$C$5*I93)/1000000+Profiles!$D$5*IF(L93="",0,L93))</f>
        <v/>
      </c>
      <c r="O93" s="12">
        <f>IF(OR(H93="",I93=""),"",(Profiles!$B$6*(Profiles!$B$10*H93+Profiles!$B$9*IF(J93="",H93,J93)+Profiles!$B$11*IF(K93="",H93,K93))+Profiles!$C$6*I93)/1000000+Profiles!$D$6*IF(L93="",0,L93))</f>
        <v/>
      </c>
      <c r="P93" s="12">
        <f>IF(OR(H93="",I93=""),"",(Profiles!$B$5*(Profiles!$B$10*H93+Profiles!$B$9*H93+Profiles!$B$11*H93)+Profiles!$C$5*I93)/1000000+Profiles!$D$5*IF(L93="",0,L93))</f>
        <v/>
      </c>
      <c r="Q93" t="inlineStr">
        <is>
          <t>2026-04-20</t>
        </is>
      </c>
    </row>
    <row r="94">
      <c r="A94" t="inlineStr">
        <is>
          <t>~anthropic/claude-haiku-latest</t>
        </is>
      </c>
      <c r="B94" t="inlineStr">
        <is>
          <t>Anthropic: Claude Haiku Latest</t>
        </is>
      </c>
      <c r="D94" t="inlineStr">
        <is>
          <t>yes</t>
        </is>
      </c>
      <c r="E94" t="inlineStr">
        <is>
          <t>yes</t>
        </is>
      </c>
      <c r="F94" s="10" t="n">
        <v>200000</v>
      </c>
      <c r="G94" t="inlineStr">
        <is>
          <t>alias (latest)</t>
        </is>
      </c>
      <c r="H94" s="11" t="n">
        <v>1</v>
      </c>
      <c r="I94" s="11" t="n">
        <v>5</v>
      </c>
      <c r="J94" s="11" t="n">
        <v>0.09999999999999999</v>
      </c>
      <c r="K94" s="11" t="n">
        <v>1.25</v>
      </c>
      <c r="L94" s="11" t="n"/>
      <c r="M94" s="12">
        <f>IF(OR(H94="",I94=""),"",(Profiles!$B$4*(Profiles!$B$10*H94+Profiles!$B$9*IF(J94="",H94,J94)+Profiles!$B$11*IF(K94="",H94,K94))+Profiles!$C$4*I94)/1000000+Profiles!$D$4*IF(L94="",0,L94))</f>
        <v/>
      </c>
      <c r="N94" s="12">
        <f>IF(OR(H94="",I94=""),"",(Profiles!$B$5*(Profiles!$B$10*H94+Profiles!$B$9*IF(J94="",H94,J94)+Profiles!$B$11*IF(K94="",H94,K94))+Profiles!$C$5*I94)/1000000+Profiles!$D$5*IF(L94="",0,L94))</f>
        <v/>
      </c>
      <c r="O94" s="12">
        <f>IF(OR(H94="",I94=""),"",(Profiles!$B$6*(Profiles!$B$10*H94+Profiles!$B$9*IF(J94="",H94,J94)+Profiles!$B$11*IF(K94="",H94,K94))+Profiles!$C$6*I94)/1000000+Profiles!$D$6*IF(L94="",0,L94))</f>
        <v/>
      </c>
      <c r="P94" s="12">
        <f>IF(OR(H94="",I94=""),"",(Profiles!$B$5*(Profiles!$B$10*H94+Profiles!$B$9*H94+Profiles!$B$11*H94)+Profiles!$C$5*I94)/1000000+Profiles!$D$5*IF(L94="",0,L94))</f>
        <v/>
      </c>
      <c r="Q94" t="inlineStr">
        <is>
          <t>2026-04-27</t>
        </is>
      </c>
    </row>
    <row r="95">
      <c r="A95" t="inlineStr">
        <is>
          <t>anthropic/claude-haiku-4.5</t>
        </is>
      </c>
      <c r="B95" t="inlineStr">
        <is>
          <t>Anthropic: Claude Haiku 4.5</t>
        </is>
      </c>
      <c r="D95" t="inlineStr">
        <is>
          <t>yes</t>
        </is>
      </c>
      <c r="E95" t="inlineStr">
        <is>
          <t>yes</t>
        </is>
      </c>
      <c r="F95" s="10" t="n">
        <v>200000</v>
      </c>
      <c r="H95" s="11" t="n">
        <v>1</v>
      </c>
      <c r="I95" s="11" t="n">
        <v>5</v>
      </c>
      <c r="J95" s="11" t="n">
        <v>0.09999999999999999</v>
      </c>
      <c r="K95" s="11" t="n">
        <v>1.25</v>
      </c>
      <c r="L95" s="11" t="n"/>
      <c r="M95" s="12">
        <f>IF(OR(H95="",I95=""),"",(Profiles!$B$4*(Profiles!$B$10*H95+Profiles!$B$9*IF(J95="",H95,J95)+Profiles!$B$11*IF(K95="",H95,K95))+Profiles!$C$4*I95)/1000000+Profiles!$D$4*IF(L95="",0,L95))</f>
        <v/>
      </c>
      <c r="N95" s="12">
        <f>IF(OR(H95="",I95=""),"",(Profiles!$B$5*(Profiles!$B$10*H95+Profiles!$B$9*IF(J95="",H95,J95)+Profiles!$B$11*IF(K95="",H95,K95))+Profiles!$C$5*I95)/1000000+Profiles!$D$5*IF(L95="",0,L95))</f>
        <v/>
      </c>
      <c r="O95" s="12">
        <f>IF(OR(H95="",I95=""),"",(Profiles!$B$6*(Profiles!$B$10*H95+Profiles!$B$9*IF(J95="",H95,J95)+Profiles!$B$11*IF(K95="",H95,K95))+Profiles!$C$6*I95)/1000000+Profiles!$D$6*IF(L95="",0,L95))</f>
        <v/>
      </c>
      <c r="P95" s="12">
        <f>IF(OR(H95="",I95=""),"",(Profiles!$B$5*(Profiles!$B$10*H95+Profiles!$B$9*H95+Profiles!$B$11*H95)+Profiles!$C$5*I95)/1000000+Profiles!$D$5*IF(L95="",0,L95))</f>
        <v/>
      </c>
      <c r="Q95" t="inlineStr">
        <is>
          <t>2025-10-15</t>
        </is>
      </c>
    </row>
    <row r="96">
      <c r="A96" t="inlineStr">
        <is>
          <t>moonshotai/kimi-k2.7-code</t>
        </is>
      </c>
      <c r="B96" t="inlineStr">
        <is>
          <t>MoonshotAI: Kimi K2.7 Code</t>
        </is>
      </c>
      <c r="D96" t="inlineStr">
        <is>
          <t>yes</t>
        </is>
      </c>
      <c r="E96" t="inlineStr">
        <is>
          <t>yes</t>
        </is>
      </c>
      <c r="F96" s="10" t="n">
        <v>262144</v>
      </c>
      <c r="H96" s="11" t="n">
        <v>0.6562</v>
      </c>
      <c r="I96" s="11" t="n">
        <v>3.3</v>
      </c>
      <c r="J96" s="11" t="n">
        <v>0.18</v>
      </c>
      <c r="K96" s="11" t="n"/>
      <c r="L96" s="11" t="n"/>
      <c r="M96" s="12">
        <f>IF(OR(H96="",I96=""),"",(Profiles!$B$4*(Profiles!$B$10*H96+Profiles!$B$9*IF(J96="",H96,J96)+Profiles!$B$11*IF(K96="",H96,K96))+Profiles!$C$4*I96)/1000000+Profiles!$D$4*IF(L96="",0,L96))</f>
        <v/>
      </c>
      <c r="N96" s="12">
        <f>IF(OR(H96="",I96=""),"",(Profiles!$B$5*(Profiles!$B$10*H96+Profiles!$B$9*IF(J96="",H96,J96)+Profiles!$B$11*IF(K96="",H96,K96))+Profiles!$C$5*I96)/1000000+Profiles!$D$5*IF(L96="",0,L96))</f>
        <v/>
      </c>
      <c r="O96" s="12">
        <f>IF(OR(H96="",I96=""),"",(Profiles!$B$6*(Profiles!$B$10*H96+Profiles!$B$9*IF(J96="",H96,J96)+Profiles!$B$11*IF(K96="",H96,K96))+Profiles!$C$6*I96)/1000000+Profiles!$D$6*IF(L96="",0,L96))</f>
        <v/>
      </c>
      <c r="P96" s="12">
        <f>IF(OR(H96="",I96=""),"",(Profiles!$B$5*(Profiles!$B$10*H96+Profiles!$B$9*H96+Profiles!$B$11*H96)+Profiles!$C$5*I96)/1000000+Profiles!$D$5*IF(L96="",0,L96))</f>
        <v/>
      </c>
      <c r="Q96" t="inlineStr">
        <is>
          <t>2026-06-12</t>
        </is>
      </c>
    </row>
    <row r="97">
      <c r="A97" t="inlineStr">
        <is>
          <t>sakana/sakana-namazu</t>
        </is>
      </c>
      <c r="B97" t="inlineStr">
        <is>
          <t>Sakana: Sakana Namazu</t>
        </is>
      </c>
      <c r="D97" t="inlineStr">
        <is>
          <t>yes</t>
        </is>
      </c>
      <c r="E97" t="inlineStr">
        <is>
          <t>yes</t>
        </is>
      </c>
      <c r="F97" s="10" t="n">
        <v>262144</v>
      </c>
      <c r="H97" s="11" t="n">
        <v>0.95</v>
      </c>
      <c r="I97" s="11" t="n">
        <v>4</v>
      </c>
      <c r="J97" s="11" t="n">
        <v>0.15</v>
      </c>
      <c r="K97" s="11" t="n"/>
      <c r="L97" s="11" t="n"/>
      <c r="M97" s="12">
        <f>IF(OR(H97="",I97=""),"",(Profiles!$B$4*(Profiles!$B$10*H97+Profiles!$B$9*IF(J97="",H97,J97)+Profiles!$B$11*IF(K97="",H97,K97))+Profiles!$C$4*I97)/1000000+Profiles!$D$4*IF(L97="",0,L97))</f>
        <v/>
      </c>
      <c r="N97" s="12">
        <f>IF(OR(H97="",I97=""),"",(Profiles!$B$5*(Profiles!$B$10*H97+Profiles!$B$9*IF(J97="",H97,J97)+Profiles!$B$11*IF(K97="",H97,K97))+Profiles!$C$5*I97)/1000000+Profiles!$D$5*IF(L97="",0,L97))</f>
        <v/>
      </c>
      <c r="O97" s="12">
        <f>IF(OR(H97="",I97=""),"",(Profiles!$B$6*(Profiles!$B$10*H97+Profiles!$B$9*IF(J97="",H97,J97)+Profiles!$B$11*IF(K97="",H97,K97))+Profiles!$C$6*I97)/1000000+Profiles!$D$6*IF(L97="",0,L97))</f>
        <v/>
      </c>
      <c r="P97" s="12">
        <f>IF(OR(H97="",I97=""),"",(Profiles!$B$5*(Profiles!$B$10*H97+Profiles!$B$9*H97+Profiles!$B$11*H97)+Profiles!$C$5*I97)/1000000+Profiles!$D$5*IF(L97="",0,L97))</f>
        <v/>
      </c>
      <c r="Q97" t="inlineStr">
        <is>
          <t>2026-08-11</t>
        </is>
      </c>
    </row>
    <row r="98">
      <c r="A98" t="inlineStr">
        <is>
          <t>bytedance-seed/seed-2.0-lite</t>
        </is>
      </c>
      <c r="B98" t="inlineStr">
        <is>
          <t>ByteDance Seed: Seed-2.0-Lite</t>
        </is>
      </c>
      <c r="D98" t="inlineStr">
        <is>
          <t>yes</t>
        </is>
      </c>
      <c r="E98" t="inlineStr">
        <is>
          <t>yes</t>
        </is>
      </c>
      <c r="F98" s="10" t="n">
        <v>262144</v>
      </c>
      <c r="H98" s="11" t="n">
        <v>0.25</v>
      </c>
      <c r="I98" s="11" t="n">
        <v>2</v>
      </c>
      <c r="J98" s="11" t="n"/>
      <c r="K98" s="11" t="n"/>
      <c r="L98" s="11" t="n"/>
      <c r="M98" s="12">
        <f>IF(OR(H98="",I98=""),"",(Profiles!$B$4*(Profiles!$B$10*H98+Profiles!$B$9*IF(J98="",H98,J98)+Profiles!$B$11*IF(K98="",H98,K98))+Profiles!$C$4*I98)/1000000+Profiles!$D$4*IF(L98="",0,L98))</f>
        <v/>
      </c>
      <c r="N98" s="12">
        <f>IF(OR(H98="",I98=""),"",(Profiles!$B$5*(Profiles!$B$10*H98+Profiles!$B$9*IF(J98="",H98,J98)+Profiles!$B$11*IF(K98="",H98,K98))+Profiles!$C$5*I98)/1000000+Profiles!$D$5*IF(L98="",0,L98))</f>
        <v/>
      </c>
      <c r="O98" s="12">
        <f>IF(OR(H98="",I98=""),"",(Profiles!$B$6*(Profiles!$B$10*H98+Profiles!$B$9*IF(J98="",H98,J98)+Profiles!$B$11*IF(K98="",H98,K98))+Profiles!$C$6*I98)/1000000+Profiles!$D$6*IF(L98="",0,L98))</f>
        <v/>
      </c>
      <c r="P98" s="12">
        <f>IF(OR(H98="",I98=""),"",(Profiles!$B$5*(Profiles!$B$10*H98+Profiles!$B$9*H98+Profiles!$B$11*H98)+Profiles!$C$5*I98)/1000000+Profiles!$D$5*IF(L98="",0,L98))</f>
        <v/>
      </c>
      <c r="Q98" t="inlineStr">
        <is>
          <t>2026-03-10</t>
        </is>
      </c>
    </row>
    <row r="99">
      <c r="A99" t="inlineStr">
        <is>
          <t>bytedance-seed/seed-1.6</t>
        </is>
      </c>
      <c r="B99" t="inlineStr">
        <is>
          <t>ByteDance Seed: Seed 1.6</t>
        </is>
      </c>
      <c r="D99" t="inlineStr">
        <is>
          <t>yes</t>
        </is>
      </c>
      <c r="E99" t="inlineStr">
        <is>
          <t>yes</t>
        </is>
      </c>
      <c r="F99" s="10" t="n">
        <v>262144</v>
      </c>
      <c r="H99" s="11" t="n">
        <v>0.25</v>
      </c>
      <c r="I99" s="11" t="n">
        <v>2</v>
      </c>
      <c r="J99" s="11" t="n"/>
      <c r="K99" s="11" t="n"/>
      <c r="L99" s="11" t="n"/>
      <c r="M99" s="12">
        <f>IF(OR(H99="",I99=""),"",(Profiles!$B$4*(Profiles!$B$10*H99+Profiles!$B$9*IF(J99="",H99,J99)+Profiles!$B$11*IF(K99="",H99,K99))+Profiles!$C$4*I99)/1000000+Profiles!$D$4*IF(L99="",0,L99))</f>
        <v/>
      </c>
      <c r="N99" s="12">
        <f>IF(OR(H99="",I99=""),"",(Profiles!$B$5*(Profiles!$B$10*H99+Profiles!$B$9*IF(J99="",H99,J99)+Profiles!$B$11*IF(K99="",H99,K99))+Profiles!$C$5*I99)/1000000+Profiles!$D$5*IF(L99="",0,L99))</f>
        <v/>
      </c>
      <c r="O99" s="12">
        <f>IF(OR(H99="",I99=""),"",(Profiles!$B$6*(Profiles!$B$10*H99+Profiles!$B$9*IF(J99="",H99,J99)+Profiles!$B$11*IF(K99="",H99,K99))+Profiles!$C$6*I99)/1000000+Profiles!$D$6*IF(L99="",0,L99))</f>
        <v/>
      </c>
      <c r="P99" s="12">
        <f>IF(OR(H99="",I99=""),"",(Profiles!$B$5*(Profiles!$B$10*H99+Profiles!$B$9*H99+Profiles!$B$11*H99)+Profiles!$C$5*I99)/1000000+Profiles!$D$5*IF(L99="",0,L99))</f>
        <v/>
      </c>
      <c r="Q99" t="inlineStr">
        <is>
          <t>2025-12-23</t>
        </is>
      </c>
      <c r="R99" t="inlineStr">
        <is>
          <t>2026-11-11</t>
        </is>
      </c>
    </row>
    <row r="100">
      <c r="A100" t="inlineStr">
        <is>
          <t>qwen/qwen3.5-plus-02-15</t>
        </is>
      </c>
      <c r="B100" t="inlineStr">
        <is>
          <t>Qwen: Qwen3.5 Plus 2026-02-15</t>
        </is>
      </c>
      <c r="D100" t="inlineStr">
        <is>
          <t>yes</t>
        </is>
      </c>
      <c r="E100" t="inlineStr">
        <is>
          <t>yes</t>
        </is>
      </c>
      <c r="F100" s="10" t="n">
        <v>1000000</v>
      </c>
      <c r="H100" s="11" t="n">
        <v>0.26</v>
      </c>
      <c r="I100" s="11" t="n">
        <v>1.56</v>
      </c>
      <c r="J100" s="11" t="n"/>
      <c r="K100" s="11" t="n"/>
      <c r="L100" s="11" t="n"/>
      <c r="M100" s="12">
        <f>IF(OR(H100="",I100=""),"",(Profiles!$B$4*(Profiles!$B$10*H100+Profiles!$B$9*IF(J100="",H100,J100)+Profiles!$B$11*IF(K100="",H100,K100))+Profiles!$C$4*I100)/1000000+Profiles!$D$4*IF(L100="",0,L100))</f>
        <v/>
      </c>
      <c r="N100" s="12">
        <f>IF(OR(H100="",I100=""),"",(Profiles!$B$5*(Profiles!$B$10*H100+Profiles!$B$9*IF(J100="",H100,J100)+Profiles!$B$11*IF(K100="",H100,K100))+Profiles!$C$5*I100)/1000000+Profiles!$D$5*IF(L100="",0,L100))</f>
        <v/>
      </c>
      <c r="O100" s="12">
        <f>IF(OR(H100="",I100=""),"",(Profiles!$B$6*(Profiles!$B$10*H100+Profiles!$B$9*IF(J100="",H100,J100)+Profiles!$B$11*IF(K100="",H100,K100))+Profiles!$C$6*I100)/1000000+Profiles!$D$6*IF(L100="",0,L100))</f>
        <v/>
      </c>
      <c r="P100" s="12">
        <f>IF(OR(H100="",I100=""),"",(Profiles!$B$5*(Profiles!$B$10*H100+Profiles!$B$9*H100+Profiles!$B$11*H100)+Profiles!$C$5*I100)/1000000+Profiles!$D$5*IF(L100="",0,L100))</f>
        <v/>
      </c>
      <c r="Q100" t="inlineStr">
        <is>
          <t>2026-02-16</t>
        </is>
      </c>
    </row>
    <row r="101">
      <c r="A101" t="inlineStr">
        <is>
          <t>qwen/qwen3.5-122b-a10b</t>
        </is>
      </c>
      <c r="B101" t="inlineStr">
        <is>
          <t>Qwen: Qwen3.5-122B-A10B</t>
        </is>
      </c>
      <c r="D101" t="inlineStr">
        <is>
          <t>yes</t>
        </is>
      </c>
      <c r="E101" t="inlineStr">
        <is>
          <t>yes</t>
        </is>
      </c>
      <c r="F101" s="10" t="n">
        <v>262144</v>
      </c>
      <c r="H101" s="11" t="n">
        <v>0.26</v>
      </c>
      <c r="I101" s="11" t="n">
        <v>2.08</v>
      </c>
      <c r="J101" s="11" t="n"/>
      <c r="K101" s="11" t="n"/>
      <c r="L101" s="11" t="n"/>
      <c r="M101" s="12">
        <f>IF(OR(H101="",I101=""),"",(Profiles!$B$4*(Profiles!$B$10*H101+Profiles!$B$9*IF(J101="",H101,J101)+Profiles!$B$11*IF(K101="",H101,K101))+Profiles!$C$4*I101)/1000000+Profiles!$D$4*IF(L101="",0,L101))</f>
        <v/>
      </c>
      <c r="N101" s="12">
        <f>IF(OR(H101="",I101=""),"",(Profiles!$B$5*(Profiles!$B$10*H101+Profiles!$B$9*IF(J101="",H101,J101)+Profiles!$B$11*IF(K101="",H101,K101))+Profiles!$C$5*I101)/1000000+Profiles!$D$5*IF(L101="",0,L101))</f>
        <v/>
      </c>
      <c r="O101" s="12">
        <f>IF(OR(H101="",I101=""),"",(Profiles!$B$6*(Profiles!$B$10*H101+Profiles!$B$9*IF(J101="",H101,J101)+Profiles!$B$11*IF(K101="",H101,K101))+Profiles!$C$6*I101)/1000000+Profiles!$D$6*IF(L101="",0,L101))</f>
        <v/>
      </c>
      <c r="P101" s="12">
        <f>IF(OR(H101="",I101=""),"",(Profiles!$B$5*(Profiles!$B$10*H101+Profiles!$B$9*H101+Profiles!$B$11*H101)+Profiles!$C$5*I101)/1000000+Profiles!$D$5*IF(L101="",0,L101))</f>
        <v/>
      </c>
      <c r="Q101" t="inlineStr">
        <is>
          <t>2026-02-25</t>
        </is>
      </c>
    </row>
    <row r="102">
      <c r="A102" t="inlineStr">
        <is>
          <t>google/gemini-2.5-pro</t>
        </is>
      </c>
      <c r="B102" t="inlineStr">
        <is>
          <t>Google: Gemini 2.5 Pro</t>
        </is>
      </c>
      <c r="D102" t="inlineStr">
        <is>
          <t>yes</t>
        </is>
      </c>
      <c r="E102" t="inlineStr">
        <is>
          <t>yes</t>
        </is>
      </c>
      <c r="F102" s="10" t="n">
        <v>1048576</v>
      </c>
      <c r="H102" s="11" t="n">
        <v>1.25</v>
      </c>
      <c r="I102" s="11" t="n">
        <v>10</v>
      </c>
      <c r="J102" s="11" t="n">
        <v>0.125</v>
      </c>
      <c r="K102" s="11" t="n">
        <v>0.375</v>
      </c>
      <c r="L102" s="11" t="n">
        <v>1.25e-06</v>
      </c>
      <c r="M102" s="12">
        <f>IF(OR(H102="",I102=""),"",(Profiles!$B$4*(Profiles!$B$10*H102+Profiles!$B$9*IF(J102="",H102,J102)+Profiles!$B$11*IF(K102="",H102,K102))+Profiles!$C$4*I102)/1000000+Profiles!$D$4*IF(L102="",0,L102))</f>
        <v/>
      </c>
      <c r="N102" s="12">
        <f>IF(OR(H102="",I102=""),"",(Profiles!$B$5*(Profiles!$B$10*H102+Profiles!$B$9*IF(J102="",H102,J102)+Profiles!$B$11*IF(K102="",H102,K102))+Profiles!$C$5*I102)/1000000+Profiles!$D$5*IF(L102="",0,L102))</f>
        <v/>
      </c>
      <c r="O102" s="12">
        <f>IF(OR(H102="",I102=""),"",(Profiles!$B$6*(Profiles!$B$10*H102+Profiles!$B$9*IF(J102="",H102,J102)+Profiles!$B$11*IF(K102="",H102,K102))+Profiles!$C$6*I102)/1000000+Profiles!$D$6*IF(L102="",0,L102))</f>
        <v/>
      </c>
      <c r="P102" s="12">
        <f>IF(OR(H102="",I102=""),"",(Profiles!$B$5*(Profiles!$B$10*H102+Profiles!$B$9*H102+Profiles!$B$11*H102)+Profiles!$C$5*I102)/1000000+Profiles!$D$5*IF(L102="",0,L102))</f>
        <v/>
      </c>
      <c r="Q102" t="inlineStr">
        <is>
          <t>2025-06-17</t>
        </is>
      </c>
      <c r="R102" t="inlineStr">
        <is>
          <t>2026-10-20</t>
        </is>
      </c>
    </row>
    <row r="103">
      <c r="A103" t="inlineStr">
        <is>
          <t>google/gemini-2.5-pro-preview</t>
        </is>
      </c>
      <c r="B103" t="inlineStr">
        <is>
          <t>Google: Gemini 2.5 Pro Preview 06-05</t>
        </is>
      </c>
      <c r="D103" t="inlineStr">
        <is>
          <t>yes</t>
        </is>
      </c>
      <c r="E103" t="inlineStr">
        <is>
          <t>yes</t>
        </is>
      </c>
      <c r="F103" s="10" t="n">
        <v>1048576</v>
      </c>
      <c r="H103" s="11" t="n">
        <v>1.25</v>
      </c>
      <c r="I103" s="11" t="n">
        <v>10</v>
      </c>
      <c r="J103" s="11" t="n">
        <v>0.125</v>
      </c>
      <c r="K103" s="11" t="n">
        <v>0.375</v>
      </c>
      <c r="L103" s="11" t="n">
        <v>1.25e-06</v>
      </c>
      <c r="M103" s="12">
        <f>IF(OR(H103="",I103=""),"",(Profiles!$B$4*(Profiles!$B$10*H103+Profiles!$B$9*IF(J103="",H103,J103)+Profiles!$B$11*IF(K103="",H103,K103))+Profiles!$C$4*I103)/1000000+Profiles!$D$4*IF(L103="",0,L103))</f>
        <v/>
      </c>
      <c r="N103" s="12">
        <f>IF(OR(H103="",I103=""),"",(Profiles!$B$5*(Profiles!$B$10*H103+Profiles!$B$9*IF(J103="",H103,J103)+Profiles!$B$11*IF(K103="",H103,K103))+Profiles!$C$5*I103)/1000000+Profiles!$D$5*IF(L103="",0,L103))</f>
        <v/>
      </c>
      <c r="O103" s="12">
        <f>IF(OR(H103="",I103=""),"",(Profiles!$B$6*(Profiles!$B$10*H103+Profiles!$B$9*IF(J103="",H103,J103)+Profiles!$B$11*IF(K103="",H103,K103))+Profiles!$C$6*I103)/1000000+Profiles!$D$6*IF(L103="",0,L103))</f>
        <v/>
      </c>
      <c r="P103" s="12">
        <f>IF(OR(H103="",I103=""),"",(Profiles!$B$5*(Profiles!$B$10*H103+Profiles!$B$9*H103+Profiles!$B$11*H103)+Profiles!$C$5*I103)/1000000+Profiles!$D$5*IF(L103="",0,L103))</f>
        <v/>
      </c>
      <c r="Q103" t="inlineStr">
        <is>
          <t>2025-06-05</t>
        </is>
      </c>
    </row>
    <row r="104">
      <c r="A104" t="inlineStr">
        <is>
          <t>qwen/qwen3.5-397b-a17b</t>
        </is>
      </c>
      <c r="B104" t="inlineStr">
        <is>
          <t>Qwen: Qwen3.5 397B A17B</t>
        </is>
      </c>
      <c r="D104" t="inlineStr">
        <is>
          <t>yes</t>
        </is>
      </c>
      <c r="E104" t="inlineStr">
        <is>
          <t>yes</t>
        </is>
      </c>
      <c r="F104" s="10" t="n">
        <v>262144</v>
      </c>
      <c r="H104" s="11" t="n">
        <v>0.55</v>
      </c>
      <c r="I104" s="11" t="n">
        <v>3.5</v>
      </c>
      <c r="J104" s="11" t="n">
        <v>0.225</v>
      </c>
      <c r="K104" s="11" t="n"/>
      <c r="L104" s="11" t="n"/>
      <c r="M104" s="12">
        <f>IF(OR(H104="",I104=""),"",(Profiles!$B$4*(Profiles!$B$10*H104+Profiles!$B$9*IF(J104="",H104,J104)+Profiles!$B$11*IF(K104="",H104,K104))+Profiles!$C$4*I104)/1000000+Profiles!$D$4*IF(L104="",0,L104))</f>
        <v/>
      </c>
      <c r="N104" s="12">
        <f>IF(OR(H104="",I104=""),"",(Profiles!$B$5*(Profiles!$B$10*H104+Profiles!$B$9*IF(J104="",H104,J104)+Profiles!$B$11*IF(K104="",H104,K104))+Profiles!$C$5*I104)/1000000+Profiles!$D$5*IF(L104="",0,L104))</f>
        <v/>
      </c>
      <c r="O104" s="12">
        <f>IF(OR(H104="",I104=""),"",(Profiles!$B$6*(Profiles!$B$10*H104+Profiles!$B$9*IF(J104="",H104,J104)+Profiles!$B$11*IF(K104="",H104,K104))+Profiles!$C$6*I104)/1000000+Profiles!$D$6*IF(L104="",0,L104))</f>
        <v/>
      </c>
      <c r="P104" s="12">
        <f>IF(OR(H104="",I104=""),"",(Profiles!$B$5*(Profiles!$B$10*H104+Profiles!$B$9*H104+Profiles!$B$11*H104)+Profiles!$C$5*I104)/1000000+Profiles!$D$5*IF(L104="",0,L104))</f>
        <v/>
      </c>
      <c r="Q104" t="inlineStr">
        <is>
          <t>2026-02-16</t>
        </is>
      </c>
    </row>
    <row r="105">
      <c r="A105" t="inlineStr">
        <is>
          <t>thinkingmachines/inkling</t>
        </is>
      </c>
      <c r="B105" t="inlineStr">
        <is>
          <t>Thinking Machines: Inkling</t>
        </is>
      </c>
      <c r="D105" t="inlineStr">
        <is>
          <t>yes</t>
        </is>
      </c>
      <c r="E105" t="inlineStr">
        <is>
          <t>yes</t>
        </is>
      </c>
      <c r="F105" s="10" t="n">
        <v>524288</v>
      </c>
      <c r="H105" s="11" t="n">
        <v>1</v>
      </c>
      <c r="I105" s="11" t="n">
        <v>4.05</v>
      </c>
      <c r="J105" s="11" t="n">
        <v>0.17</v>
      </c>
      <c r="K105" s="11" t="n"/>
      <c r="L105" s="11" t="n"/>
      <c r="M105" s="12">
        <f>IF(OR(H105="",I105=""),"",(Profiles!$B$4*(Profiles!$B$10*H105+Profiles!$B$9*IF(J105="",H105,J105)+Profiles!$B$11*IF(K105="",H105,K105))+Profiles!$C$4*I105)/1000000+Profiles!$D$4*IF(L105="",0,L105))</f>
        <v/>
      </c>
      <c r="N105" s="12">
        <f>IF(OR(H105="",I105=""),"",(Profiles!$B$5*(Profiles!$B$10*H105+Profiles!$B$9*IF(J105="",H105,J105)+Profiles!$B$11*IF(K105="",H105,K105))+Profiles!$C$5*I105)/1000000+Profiles!$D$5*IF(L105="",0,L105))</f>
        <v/>
      </c>
      <c r="O105" s="12">
        <f>IF(OR(H105="",I105=""),"",(Profiles!$B$6*(Profiles!$B$10*H105+Profiles!$B$9*IF(J105="",H105,J105)+Profiles!$B$11*IF(K105="",H105,K105))+Profiles!$C$6*I105)/1000000+Profiles!$D$6*IF(L105="",0,L105))</f>
        <v/>
      </c>
      <c r="P105" s="12">
        <f>IF(OR(H105="",I105=""),"",(Profiles!$B$5*(Profiles!$B$10*H105+Profiles!$B$9*H105+Profiles!$B$11*H105)+Profiles!$C$5*I105)/1000000+Profiles!$D$5*IF(L105="",0,L105))</f>
        <v/>
      </c>
      <c r="Q105" t="inlineStr">
        <is>
          <t>2026-07-17</t>
        </is>
      </c>
    </row>
    <row r="106">
      <c r="A106" s="6" t="inlineStr">
        <is>
          <t>meta/muse-spark-1.3</t>
        </is>
      </c>
      <c r="B106" s="6" t="inlineStr">
        <is>
          <t>Meta: Muse Spark 1.3</t>
        </is>
      </c>
      <c r="C106" s="6" t="inlineStr">
        <is>
          <t>r18, r19 (via Zen)</t>
        </is>
      </c>
      <c r="D106" s="6" t="inlineStr">
        <is>
          <t>yes</t>
        </is>
      </c>
      <c r="E106" s="6" t="inlineStr">
        <is>
          <t>yes</t>
        </is>
      </c>
      <c r="F106" s="7" t="n">
        <v>1048576</v>
      </c>
      <c r="G106" s="6" t="inlineStr"/>
      <c r="H106" s="8" t="n">
        <v>1.25</v>
      </c>
      <c r="I106" s="8" t="n">
        <v>4.25</v>
      </c>
      <c r="J106" s="8" t="n">
        <v>0.15</v>
      </c>
      <c r="K106" s="8" t="n"/>
      <c r="L106" s="8" t="n"/>
      <c r="M106" s="9">
        <f>IF(OR(H106="",I106=""),"",(Profiles!$B$4*(Profiles!$B$10*H106+Profiles!$B$9*IF(J106="",H106,J106)+Profiles!$B$11*IF(K106="",H106,K106))+Profiles!$C$4*I106)/1000000+Profiles!$D$4*IF(L106="",0,L106))</f>
        <v/>
      </c>
      <c r="N106" s="9">
        <f>IF(OR(H106="",I106=""),"",(Profiles!$B$5*(Profiles!$B$10*H106+Profiles!$B$9*IF(J106="",H106,J106)+Profiles!$B$11*IF(K106="",H106,K106))+Profiles!$C$5*I106)/1000000+Profiles!$D$5*IF(L106="",0,L106))</f>
        <v/>
      </c>
      <c r="O106" s="9">
        <f>IF(OR(H106="",I106=""),"",(Profiles!$B$6*(Profiles!$B$10*H106+Profiles!$B$9*IF(J106="",H106,J106)+Profiles!$B$11*IF(K106="",H106,K106))+Profiles!$C$6*I106)/1000000+Profiles!$D$6*IF(L106="",0,L106))</f>
        <v/>
      </c>
      <c r="P106" s="9">
        <f>IF(OR(H106="",I106=""),"",(Profiles!$B$5*(Profiles!$B$10*H106+Profiles!$B$9*H106+Profiles!$B$11*H106)+Profiles!$C$5*I106)/1000000+Profiles!$D$5*IF(L106="",0,L106))</f>
        <v/>
      </c>
      <c r="Q106" s="6" t="inlineStr">
        <is>
          <t>2026-09-02</t>
        </is>
      </c>
      <c r="R106" s="6" t="inlineStr"/>
    </row>
    <row r="107">
      <c r="A107" t="inlineStr">
        <is>
          <t>meta/muse-spark-1.2</t>
        </is>
      </c>
      <c r="B107" t="inlineStr">
        <is>
          <t>Meta: Muse Spark 1.2</t>
        </is>
      </c>
      <c r="D107" t="inlineStr">
        <is>
          <t>yes</t>
        </is>
      </c>
      <c r="E107" t="inlineStr">
        <is>
          <t>yes</t>
        </is>
      </c>
      <c r="F107" s="10" t="n">
        <v>1048576</v>
      </c>
      <c r="H107" s="11" t="n">
        <v>1.25</v>
      </c>
      <c r="I107" s="11" t="n">
        <v>4.25</v>
      </c>
      <c r="J107" s="11" t="n">
        <v>0.15</v>
      </c>
      <c r="K107" s="11" t="n"/>
      <c r="L107" s="11" t="n"/>
      <c r="M107" s="12">
        <f>IF(OR(H107="",I107=""),"",(Profiles!$B$4*(Profiles!$B$10*H107+Profiles!$B$9*IF(J107="",H107,J107)+Profiles!$B$11*IF(K107="",H107,K107))+Profiles!$C$4*I107)/1000000+Profiles!$D$4*IF(L107="",0,L107))</f>
        <v/>
      </c>
      <c r="N107" s="12">
        <f>IF(OR(H107="",I107=""),"",(Profiles!$B$5*(Profiles!$B$10*H107+Profiles!$B$9*IF(J107="",H107,J107)+Profiles!$B$11*IF(K107="",H107,K107))+Profiles!$C$5*I107)/1000000+Profiles!$D$5*IF(L107="",0,L107))</f>
        <v/>
      </c>
      <c r="O107" s="12">
        <f>IF(OR(H107="",I107=""),"",(Profiles!$B$6*(Profiles!$B$10*H107+Profiles!$B$9*IF(J107="",H107,J107)+Profiles!$B$11*IF(K107="",H107,K107))+Profiles!$C$6*I107)/1000000+Profiles!$D$6*IF(L107="",0,L107))</f>
        <v/>
      </c>
      <c r="P107" s="12">
        <f>IF(OR(H107="",I107=""),"",(Profiles!$B$5*(Profiles!$B$10*H107+Profiles!$B$9*H107+Profiles!$B$11*H107)+Profiles!$C$5*I107)/1000000+Profiles!$D$5*IF(L107="",0,L107))</f>
        <v/>
      </c>
      <c r="Q107" t="inlineStr">
        <is>
          <t>2026-08-05</t>
        </is>
      </c>
    </row>
    <row r="108">
      <c r="A108" t="inlineStr">
        <is>
          <t>meta/muse-spark-1.1</t>
        </is>
      </c>
      <c r="B108" t="inlineStr">
        <is>
          <t>Meta: Muse Spark 1.1</t>
        </is>
      </c>
      <c r="D108" t="inlineStr">
        <is>
          <t>yes</t>
        </is>
      </c>
      <c r="E108" t="inlineStr">
        <is>
          <t>yes</t>
        </is>
      </c>
      <c r="F108" s="10" t="n">
        <v>1048576</v>
      </c>
      <c r="H108" s="11" t="n">
        <v>1.25</v>
      </c>
      <c r="I108" s="11" t="n">
        <v>4.25</v>
      </c>
      <c r="J108" s="11" t="n">
        <v>0.15</v>
      </c>
      <c r="K108" s="11" t="n"/>
      <c r="L108" s="11" t="n"/>
      <c r="M108" s="12">
        <f>IF(OR(H108="",I108=""),"",(Profiles!$B$4*(Profiles!$B$10*H108+Profiles!$B$9*IF(J108="",H108,J108)+Profiles!$B$11*IF(K108="",H108,K108))+Profiles!$C$4*I108)/1000000+Profiles!$D$4*IF(L108="",0,L108))</f>
        <v/>
      </c>
      <c r="N108" s="12">
        <f>IF(OR(H108="",I108=""),"",(Profiles!$B$5*(Profiles!$B$10*H108+Profiles!$B$9*IF(J108="",H108,J108)+Profiles!$B$11*IF(K108="",H108,K108))+Profiles!$C$5*I108)/1000000+Profiles!$D$5*IF(L108="",0,L108))</f>
        <v/>
      </c>
      <c r="O108" s="12">
        <f>IF(OR(H108="",I108=""),"",(Profiles!$B$6*(Profiles!$B$10*H108+Profiles!$B$9*IF(J108="",H108,J108)+Profiles!$B$11*IF(K108="",H108,K108))+Profiles!$C$6*I108)/1000000+Profiles!$D$6*IF(L108="",0,L108))</f>
        <v/>
      </c>
      <c r="P108" s="12">
        <f>IF(OR(H108="",I108=""),"",(Profiles!$B$5*(Profiles!$B$10*H108+Profiles!$B$9*H108+Profiles!$B$11*H108)+Profiles!$C$5*I108)/1000000+Profiles!$D$5*IF(L108="",0,L108))</f>
        <v/>
      </c>
      <c r="Q108" t="inlineStr">
        <is>
          <t>2026-07-16</t>
        </is>
      </c>
    </row>
    <row r="109">
      <c r="A109" t="inlineStr">
        <is>
          <t>x-ai/grok-build-0.1</t>
        </is>
      </c>
      <c r="B109" t="inlineStr">
        <is>
          <t>SpaceXAI: Grok Build 0.1</t>
        </is>
      </c>
      <c r="D109" t="inlineStr">
        <is>
          <t>yes</t>
        </is>
      </c>
      <c r="E109" t="inlineStr">
        <is>
          <t>yes</t>
        </is>
      </c>
      <c r="F109" s="10" t="n">
        <v>256000</v>
      </c>
      <c r="H109" s="11" t="n">
        <v>1</v>
      </c>
      <c r="I109" s="11" t="n">
        <v>2</v>
      </c>
      <c r="J109" s="11" t="n">
        <v>0.2</v>
      </c>
      <c r="K109" s="11" t="n"/>
      <c r="L109" s="11" t="n"/>
      <c r="M109" s="12">
        <f>IF(OR(H109="",I109=""),"",(Profiles!$B$4*(Profiles!$B$10*H109+Profiles!$B$9*IF(J109="",H109,J109)+Profiles!$B$11*IF(K109="",H109,K109))+Profiles!$C$4*I109)/1000000+Profiles!$D$4*IF(L109="",0,L109))</f>
        <v/>
      </c>
      <c r="N109" s="12">
        <f>IF(OR(H109="",I109=""),"",(Profiles!$B$5*(Profiles!$B$10*H109+Profiles!$B$9*IF(J109="",H109,J109)+Profiles!$B$11*IF(K109="",H109,K109))+Profiles!$C$5*I109)/1000000+Profiles!$D$5*IF(L109="",0,L109))</f>
        <v/>
      </c>
      <c r="O109" s="12">
        <f>IF(OR(H109="",I109=""),"",(Profiles!$B$6*(Profiles!$B$10*H109+Profiles!$B$9*IF(J109="",H109,J109)+Profiles!$B$11*IF(K109="",H109,K109))+Profiles!$C$6*I109)/1000000+Profiles!$D$6*IF(L109="",0,L109))</f>
        <v/>
      </c>
      <c r="P109" s="12">
        <f>IF(OR(H109="",I109=""),"",(Profiles!$B$5*(Profiles!$B$10*H109+Profiles!$B$9*H109+Profiles!$B$11*H109)+Profiles!$C$5*I109)/1000000+Profiles!$D$5*IF(L109="",0,L109))</f>
        <v/>
      </c>
      <c r="Q109" t="inlineStr">
        <is>
          <t>2026-05-20</t>
        </is>
      </c>
    </row>
    <row r="110">
      <c r="A110" t="inlineStr">
        <is>
          <t>openai/gpt-5.1-codex-max</t>
        </is>
      </c>
      <c r="B110" t="inlineStr">
        <is>
          <t>OpenAI: GPT-5.1-Codex-Max</t>
        </is>
      </c>
      <c r="D110" t="inlineStr">
        <is>
          <t>yes</t>
        </is>
      </c>
      <c r="E110" t="inlineStr">
        <is>
          <t>yes</t>
        </is>
      </c>
      <c r="F110" s="10" t="n">
        <v>400000</v>
      </c>
      <c r="H110" s="11" t="n">
        <v>1.25</v>
      </c>
      <c r="I110" s="11" t="n">
        <v>10</v>
      </c>
      <c r="J110" s="11" t="n">
        <v>0.125</v>
      </c>
      <c r="K110" s="11" t="n"/>
      <c r="L110" s="11" t="n"/>
      <c r="M110" s="12">
        <f>IF(OR(H110="",I110=""),"",(Profiles!$B$4*(Profiles!$B$10*H110+Profiles!$B$9*IF(J110="",H110,J110)+Profiles!$B$11*IF(K110="",H110,K110))+Profiles!$C$4*I110)/1000000+Profiles!$D$4*IF(L110="",0,L110))</f>
        <v/>
      </c>
      <c r="N110" s="12">
        <f>IF(OR(H110="",I110=""),"",(Profiles!$B$5*(Profiles!$B$10*H110+Profiles!$B$9*IF(J110="",H110,J110)+Profiles!$B$11*IF(K110="",H110,K110))+Profiles!$C$5*I110)/1000000+Profiles!$D$5*IF(L110="",0,L110))</f>
        <v/>
      </c>
      <c r="O110" s="12">
        <f>IF(OR(H110="",I110=""),"",(Profiles!$B$6*(Profiles!$B$10*H110+Profiles!$B$9*IF(J110="",H110,J110)+Profiles!$B$11*IF(K110="",H110,K110))+Profiles!$C$6*I110)/1000000+Profiles!$D$6*IF(L110="",0,L110))</f>
        <v/>
      </c>
      <c r="P110" s="12">
        <f>IF(OR(H110="",I110=""),"",(Profiles!$B$5*(Profiles!$B$10*H110+Profiles!$B$9*H110+Profiles!$B$11*H110)+Profiles!$C$5*I110)/1000000+Profiles!$D$5*IF(L110="",0,L110))</f>
        <v/>
      </c>
      <c r="Q110" t="inlineStr">
        <is>
          <t>2025-12-04</t>
        </is>
      </c>
    </row>
    <row r="111">
      <c r="A111" t="inlineStr">
        <is>
          <t>openai/gpt-5.1</t>
        </is>
      </c>
      <c r="B111" t="inlineStr">
        <is>
          <t>OpenAI: GPT-5.1</t>
        </is>
      </c>
      <c r="D111" t="inlineStr">
        <is>
          <t>yes</t>
        </is>
      </c>
      <c r="E111" t="inlineStr">
        <is>
          <t>yes</t>
        </is>
      </c>
      <c r="F111" s="10" t="n">
        <v>400000</v>
      </c>
      <c r="H111" s="11" t="n">
        <v>1.25</v>
      </c>
      <c r="I111" s="11" t="n">
        <v>10</v>
      </c>
      <c r="J111" s="11" t="n">
        <v>0.125</v>
      </c>
      <c r="K111" s="11" t="n"/>
      <c r="L111" s="11" t="n"/>
      <c r="M111" s="12">
        <f>IF(OR(H111="",I111=""),"",(Profiles!$B$4*(Profiles!$B$10*H111+Profiles!$B$9*IF(J111="",H111,J111)+Profiles!$B$11*IF(K111="",H111,K111))+Profiles!$C$4*I111)/1000000+Profiles!$D$4*IF(L111="",0,L111))</f>
        <v/>
      </c>
      <c r="N111" s="12">
        <f>IF(OR(H111="",I111=""),"",(Profiles!$B$5*(Profiles!$B$10*H111+Profiles!$B$9*IF(J111="",H111,J111)+Profiles!$B$11*IF(K111="",H111,K111))+Profiles!$C$5*I111)/1000000+Profiles!$D$5*IF(L111="",0,L111))</f>
        <v/>
      </c>
      <c r="O111" s="12">
        <f>IF(OR(H111="",I111=""),"",(Profiles!$B$6*(Profiles!$B$10*H111+Profiles!$B$9*IF(J111="",H111,J111)+Profiles!$B$11*IF(K111="",H111,K111))+Profiles!$C$6*I111)/1000000+Profiles!$D$6*IF(L111="",0,L111))</f>
        <v/>
      </c>
      <c r="P111" s="12">
        <f>IF(OR(H111="",I111=""),"",(Profiles!$B$5*(Profiles!$B$10*H111+Profiles!$B$9*H111+Profiles!$B$11*H111)+Profiles!$C$5*I111)/1000000+Profiles!$D$5*IF(L111="",0,L111))</f>
        <v/>
      </c>
      <c r="Q111" t="inlineStr">
        <is>
          <t>2025-11-13</t>
        </is>
      </c>
    </row>
    <row r="112">
      <c r="A112" t="inlineStr">
        <is>
          <t>openai/gpt-5</t>
        </is>
      </c>
      <c r="B112" t="inlineStr">
        <is>
          <t>OpenAI: GPT-5</t>
        </is>
      </c>
      <c r="D112" t="inlineStr">
        <is>
          <t>yes</t>
        </is>
      </c>
      <c r="E112" t="inlineStr">
        <is>
          <t>yes</t>
        </is>
      </c>
      <c r="F112" s="10" t="n">
        <v>400000</v>
      </c>
      <c r="H112" s="11" t="n">
        <v>1.25</v>
      </c>
      <c r="I112" s="11" t="n">
        <v>10</v>
      </c>
      <c r="J112" s="11" t="n">
        <v>0.125</v>
      </c>
      <c r="K112" s="11" t="n"/>
      <c r="L112" s="11" t="n"/>
      <c r="M112" s="12">
        <f>IF(OR(H112="",I112=""),"",(Profiles!$B$4*(Profiles!$B$10*H112+Profiles!$B$9*IF(J112="",H112,J112)+Profiles!$B$11*IF(K112="",H112,K112))+Profiles!$C$4*I112)/1000000+Profiles!$D$4*IF(L112="",0,L112))</f>
        <v/>
      </c>
      <c r="N112" s="12">
        <f>IF(OR(H112="",I112=""),"",(Profiles!$B$5*(Profiles!$B$10*H112+Profiles!$B$9*IF(J112="",H112,J112)+Profiles!$B$11*IF(K112="",H112,K112))+Profiles!$C$5*I112)/1000000+Profiles!$D$5*IF(L112="",0,L112))</f>
        <v/>
      </c>
      <c r="O112" s="12">
        <f>IF(OR(H112="",I112=""),"",(Profiles!$B$6*(Profiles!$B$10*H112+Profiles!$B$9*IF(J112="",H112,J112)+Profiles!$B$11*IF(K112="",H112,K112))+Profiles!$C$6*I112)/1000000+Profiles!$D$6*IF(L112="",0,L112))</f>
        <v/>
      </c>
      <c r="P112" s="12">
        <f>IF(OR(H112="",I112=""),"",(Profiles!$B$5*(Profiles!$B$10*H112+Profiles!$B$9*H112+Profiles!$B$11*H112)+Profiles!$C$5*I112)/1000000+Profiles!$D$5*IF(L112="",0,L112))</f>
        <v/>
      </c>
      <c r="Q112" t="inlineStr">
        <is>
          <t>2025-08-07</t>
        </is>
      </c>
    </row>
    <row r="113">
      <c r="A113" t="inlineStr">
        <is>
          <t>google/gemini-3.5-flash</t>
        </is>
      </c>
      <c r="B113" t="inlineStr">
        <is>
          <t>Google: Gemini 3.5 Flash</t>
        </is>
      </c>
      <c r="D113" t="inlineStr">
        <is>
          <t>yes</t>
        </is>
      </c>
      <c r="E113" t="inlineStr">
        <is>
          <t>yes</t>
        </is>
      </c>
      <c r="F113" s="10" t="n">
        <v>1048576</v>
      </c>
      <c r="H113" s="11" t="n">
        <v>1.5</v>
      </c>
      <c r="I113" s="11" t="n">
        <v>9</v>
      </c>
      <c r="J113" s="11" t="n">
        <v>0.15</v>
      </c>
      <c r="K113" s="11" t="n">
        <v>0.0833333333333333</v>
      </c>
      <c r="L113" s="11" t="n">
        <v>1.5e-06</v>
      </c>
      <c r="M113" s="12">
        <f>IF(OR(H113="",I113=""),"",(Profiles!$B$4*(Profiles!$B$10*H113+Profiles!$B$9*IF(J113="",H113,J113)+Profiles!$B$11*IF(K113="",H113,K113))+Profiles!$C$4*I113)/1000000+Profiles!$D$4*IF(L113="",0,L113))</f>
        <v/>
      </c>
      <c r="N113" s="12">
        <f>IF(OR(H113="",I113=""),"",(Profiles!$B$5*(Profiles!$B$10*H113+Profiles!$B$9*IF(J113="",H113,J113)+Profiles!$B$11*IF(K113="",H113,K113))+Profiles!$C$5*I113)/1000000+Profiles!$D$5*IF(L113="",0,L113))</f>
        <v/>
      </c>
      <c r="O113" s="12">
        <f>IF(OR(H113="",I113=""),"",(Profiles!$B$6*(Profiles!$B$10*H113+Profiles!$B$9*IF(J113="",H113,J113)+Profiles!$B$11*IF(K113="",H113,K113))+Profiles!$C$6*I113)/1000000+Profiles!$D$6*IF(L113="",0,L113))</f>
        <v/>
      </c>
      <c r="P113" s="12">
        <f>IF(OR(H113="",I113=""),"",(Profiles!$B$5*(Profiles!$B$10*H113+Profiles!$B$9*H113+Profiles!$B$11*H113)+Profiles!$C$5*I113)/1000000+Profiles!$D$5*IF(L113="",0,L113))</f>
        <v/>
      </c>
      <c r="Q113" t="inlineStr">
        <is>
          <t>2026-05-19</t>
        </is>
      </c>
    </row>
    <row r="114">
      <c r="A114" t="inlineStr">
        <is>
          <t>openai/gpt-5.1-codex</t>
        </is>
      </c>
      <c r="B114" t="inlineStr">
        <is>
          <t>OpenAI: GPT-5.1-Codex</t>
        </is>
      </c>
      <c r="D114" t="inlineStr">
        <is>
          <t>yes</t>
        </is>
      </c>
      <c r="E114" t="inlineStr">
        <is>
          <t>yes</t>
        </is>
      </c>
      <c r="F114" s="10" t="n">
        <v>400000</v>
      </c>
      <c r="H114" s="11" t="n">
        <v>1.25</v>
      </c>
      <c r="I114" s="11" t="n">
        <v>10</v>
      </c>
      <c r="J114" s="11" t="n">
        <v>0.13</v>
      </c>
      <c r="K114" s="11" t="n"/>
      <c r="L114" s="11" t="n"/>
      <c r="M114" s="12">
        <f>IF(OR(H114="",I114=""),"",(Profiles!$B$4*(Profiles!$B$10*H114+Profiles!$B$9*IF(J114="",H114,J114)+Profiles!$B$11*IF(K114="",H114,K114))+Profiles!$C$4*I114)/1000000+Profiles!$D$4*IF(L114="",0,L114))</f>
        <v/>
      </c>
      <c r="N114" s="12">
        <f>IF(OR(H114="",I114=""),"",(Profiles!$B$5*(Profiles!$B$10*H114+Profiles!$B$9*IF(J114="",H114,J114)+Profiles!$B$11*IF(K114="",H114,K114))+Profiles!$C$5*I114)/1000000+Profiles!$D$5*IF(L114="",0,L114))</f>
        <v/>
      </c>
      <c r="O114" s="12">
        <f>IF(OR(H114="",I114=""),"",(Profiles!$B$6*(Profiles!$B$10*H114+Profiles!$B$9*IF(J114="",H114,J114)+Profiles!$B$11*IF(K114="",H114,K114))+Profiles!$C$6*I114)/1000000+Profiles!$D$6*IF(L114="",0,L114))</f>
        <v/>
      </c>
      <c r="P114" s="12">
        <f>IF(OR(H114="",I114=""),"",(Profiles!$B$5*(Profiles!$B$10*H114+Profiles!$B$9*H114+Profiles!$B$11*H114)+Profiles!$C$5*I114)/1000000+Profiles!$D$5*IF(L114="",0,L114))</f>
        <v/>
      </c>
      <c r="Q114" t="inlineStr">
        <is>
          <t>2025-11-13</t>
        </is>
      </c>
    </row>
    <row r="115">
      <c r="A115" t="inlineStr">
        <is>
          <t>qwen/qwen3.5-plus-20260420</t>
        </is>
      </c>
      <c r="B115" t="inlineStr">
        <is>
          <t>Qwen: Qwen3.5 Plus 2026-04-20</t>
        </is>
      </c>
      <c r="D115" t="inlineStr">
        <is>
          <t>yes</t>
        </is>
      </c>
      <c r="E115" t="inlineStr">
        <is>
          <t>yes</t>
        </is>
      </c>
      <c r="F115" s="10" t="n">
        <v>1000000</v>
      </c>
      <c r="H115" s="11" t="n">
        <v>0.3</v>
      </c>
      <c r="I115" s="11" t="n">
        <v>1.8</v>
      </c>
      <c r="J115" s="11" t="n"/>
      <c r="K115" s="11" t="n">
        <v>0.375</v>
      </c>
      <c r="L115" s="11" t="n"/>
      <c r="M115" s="12">
        <f>IF(OR(H115="",I115=""),"",(Profiles!$B$4*(Profiles!$B$10*H115+Profiles!$B$9*IF(J115="",H115,J115)+Profiles!$B$11*IF(K115="",H115,K115))+Profiles!$C$4*I115)/1000000+Profiles!$D$4*IF(L115="",0,L115))</f>
        <v/>
      </c>
      <c r="N115" s="12">
        <f>IF(OR(H115="",I115=""),"",(Profiles!$B$5*(Profiles!$B$10*H115+Profiles!$B$9*IF(J115="",H115,J115)+Profiles!$B$11*IF(K115="",H115,K115))+Profiles!$C$5*I115)/1000000+Profiles!$D$5*IF(L115="",0,L115))</f>
        <v/>
      </c>
      <c r="O115" s="12">
        <f>IF(OR(H115="",I115=""),"",(Profiles!$B$6*(Profiles!$B$10*H115+Profiles!$B$9*IF(J115="",H115,J115)+Profiles!$B$11*IF(K115="",H115,K115))+Profiles!$C$6*I115)/1000000+Profiles!$D$6*IF(L115="",0,L115))</f>
        <v/>
      </c>
      <c r="P115" s="12">
        <f>IF(OR(H115="",I115=""),"",(Profiles!$B$5*(Profiles!$B$10*H115+Profiles!$B$9*H115+Profiles!$B$11*H115)+Profiles!$C$5*I115)/1000000+Profiles!$D$5*IF(L115="",0,L115))</f>
        <v/>
      </c>
      <c r="Q115" t="inlineStr">
        <is>
          <t>2026-04-27</t>
        </is>
      </c>
    </row>
    <row r="116">
      <c r="A116" t="inlineStr">
        <is>
          <t>amazon/nova-2-lite-v1</t>
        </is>
      </c>
      <c r="B116" t="inlineStr">
        <is>
          <t>Amazon: Nova 2 Lite</t>
        </is>
      </c>
      <c r="D116" t="inlineStr">
        <is>
          <t>yes</t>
        </is>
      </c>
      <c r="E116" t="inlineStr">
        <is>
          <t>yes</t>
        </is>
      </c>
      <c r="F116" s="10" t="n">
        <v>1000000</v>
      </c>
      <c r="H116" s="11" t="n">
        <v>0.3</v>
      </c>
      <c r="I116" s="11" t="n">
        <v>2.5</v>
      </c>
      <c r="J116" s="11" t="n"/>
      <c r="K116" s="11" t="n"/>
      <c r="L116" s="11" t="n"/>
      <c r="M116" s="12">
        <f>IF(OR(H116="",I116=""),"",(Profiles!$B$4*(Profiles!$B$10*H116+Profiles!$B$9*IF(J116="",H116,J116)+Profiles!$B$11*IF(K116="",H116,K116))+Profiles!$C$4*I116)/1000000+Profiles!$D$4*IF(L116="",0,L116))</f>
        <v/>
      </c>
      <c r="N116" s="12">
        <f>IF(OR(H116="",I116=""),"",(Profiles!$B$5*(Profiles!$B$10*H116+Profiles!$B$9*IF(J116="",H116,J116)+Profiles!$B$11*IF(K116="",H116,K116))+Profiles!$C$5*I116)/1000000+Profiles!$D$5*IF(L116="",0,L116))</f>
        <v/>
      </c>
      <c r="O116" s="12">
        <f>IF(OR(H116="",I116=""),"",(Profiles!$B$6*(Profiles!$B$10*H116+Profiles!$B$9*IF(J116="",H116,J116)+Profiles!$B$11*IF(K116="",H116,K116))+Profiles!$C$6*I116)/1000000+Profiles!$D$6*IF(L116="",0,L116))</f>
        <v/>
      </c>
      <c r="P116" s="12">
        <f>IF(OR(H116="",I116=""),"",(Profiles!$B$5*(Profiles!$B$10*H116+Profiles!$B$9*H116+Profiles!$B$11*H116)+Profiles!$C$5*I116)/1000000+Profiles!$D$5*IF(L116="",0,L116))</f>
        <v/>
      </c>
      <c r="Q116" t="inlineStr">
        <is>
          <t>2025-12-02</t>
        </is>
      </c>
    </row>
    <row r="117">
      <c r="A117" t="inlineStr">
        <is>
          <t>x-ai/grok-4.3</t>
        </is>
      </c>
      <c r="B117" t="inlineStr">
        <is>
          <t>SpaceXAI: Grok 4.3</t>
        </is>
      </c>
      <c r="D117" t="inlineStr">
        <is>
          <t>yes</t>
        </is>
      </c>
      <c r="E117" t="inlineStr">
        <is>
          <t>yes</t>
        </is>
      </c>
      <c r="F117" s="10" t="n">
        <v>1000000</v>
      </c>
      <c r="H117" s="11" t="n">
        <v>1.25</v>
      </c>
      <c r="I117" s="11" t="n">
        <v>2.5</v>
      </c>
      <c r="J117" s="11" t="n">
        <v>0.2</v>
      </c>
      <c r="K117" s="11" t="n"/>
      <c r="L117" s="11" t="n"/>
      <c r="M117" s="12">
        <f>IF(OR(H117="",I117=""),"",(Profiles!$B$4*(Profiles!$B$10*H117+Profiles!$B$9*IF(J117="",H117,J117)+Profiles!$B$11*IF(K117="",H117,K117))+Profiles!$C$4*I117)/1000000+Profiles!$D$4*IF(L117="",0,L117))</f>
        <v/>
      </c>
      <c r="N117" s="12">
        <f>IF(OR(H117="",I117=""),"",(Profiles!$B$5*(Profiles!$B$10*H117+Profiles!$B$9*IF(J117="",H117,J117)+Profiles!$B$11*IF(K117="",H117,K117))+Profiles!$C$5*I117)/1000000+Profiles!$D$5*IF(L117="",0,L117))</f>
        <v/>
      </c>
      <c r="O117" s="12">
        <f>IF(OR(H117="",I117=""),"",(Profiles!$B$6*(Profiles!$B$10*H117+Profiles!$B$9*IF(J117="",H117,J117)+Profiles!$B$11*IF(K117="",H117,K117))+Profiles!$C$6*I117)/1000000+Profiles!$D$6*IF(L117="",0,L117))</f>
        <v/>
      </c>
      <c r="P117" s="12">
        <f>IF(OR(H117="",I117=""),"",(Profiles!$B$5*(Profiles!$B$10*H117+Profiles!$B$9*H117+Profiles!$B$11*H117)+Profiles!$C$5*I117)/1000000+Profiles!$D$5*IF(L117="",0,L117))</f>
        <v/>
      </c>
      <c r="Q117" t="inlineStr">
        <is>
          <t>2026-05-01</t>
        </is>
      </c>
    </row>
    <row r="118">
      <c r="A118" t="inlineStr">
        <is>
          <t>x-ai/grok-4.20</t>
        </is>
      </c>
      <c r="B118" t="inlineStr">
        <is>
          <t>SpaceXAI: Grok 4.20</t>
        </is>
      </c>
      <c r="D118" t="inlineStr">
        <is>
          <t>yes</t>
        </is>
      </c>
      <c r="E118" t="inlineStr">
        <is>
          <t>yes</t>
        </is>
      </c>
      <c r="F118" s="10" t="n">
        <v>2000000</v>
      </c>
      <c r="H118" s="11" t="n">
        <v>1.25</v>
      </c>
      <c r="I118" s="11" t="n">
        <v>2.5</v>
      </c>
      <c r="J118" s="11" t="n">
        <v>0.2</v>
      </c>
      <c r="K118" s="11" t="n"/>
      <c r="L118" s="11" t="n"/>
      <c r="M118" s="12">
        <f>IF(OR(H118="",I118=""),"",(Profiles!$B$4*(Profiles!$B$10*H118+Profiles!$B$9*IF(J118="",H118,J118)+Profiles!$B$11*IF(K118="",H118,K118))+Profiles!$C$4*I118)/1000000+Profiles!$D$4*IF(L118="",0,L118))</f>
        <v/>
      </c>
      <c r="N118" s="12">
        <f>IF(OR(H118="",I118=""),"",(Profiles!$B$5*(Profiles!$B$10*H118+Profiles!$B$9*IF(J118="",H118,J118)+Profiles!$B$11*IF(K118="",H118,K118))+Profiles!$C$5*I118)/1000000+Profiles!$D$5*IF(L118="",0,L118))</f>
        <v/>
      </c>
      <c r="O118" s="12">
        <f>IF(OR(H118="",I118=""),"",(Profiles!$B$6*(Profiles!$B$10*H118+Profiles!$B$9*IF(J118="",H118,J118)+Profiles!$B$11*IF(K118="",H118,K118))+Profiles!$C$6*I118)/1000000+Profiles!$D$6*IF(L118="",0,L118))</f>
        <v/>
      </c>
      <c r="P118" s="12">
        <f>IF(OR(H118="",I118=""),"",(Profiles!$B$5*(Profiles!$B$10*H118+Profiles!$B$9*H118+Profiles!$B$11*H118)+Profiles!$C$5*I118)/1000000+Profiles!$D$5*IF(L118="",0,L118))</f>
        <v/>
      </c>
      <c r="Q118" t="inlineStr">
        <is>
          <t>2026-03-31</t>
        </is>
      </c>
    </row>
    <row r="119">
      <c r="A119" t="inlineStr">
        <is>
          <t>qwen/qwen3.6-27b</t>
        </is>
      </c>
      <c r="B119" t="inlineStr">
        <is>
          <t>Qwen: Qwen3.6 27B</t>
        </is>
      </c>
      <c r="D119" t="inlineStr">
        <is>
          <t>yes</t>
        </is>
      </c>
      <c r="E119" t="inlineStr">
        <is>
          <t>yes</t>
        </is>
      </c>
      <c r="F119" s="10" t="n">
        <v>262144</v>
      </c>
      <c r="H119" s="11" t="n">
        <v>0.32</v>
      </c>
      <c r="I119" s="11" t="n">
        <v>3.2</v>
      </c>
      <c r="J119" s="11" t="n"/>
      <c r="K119" s="11" t="n"/>
      <c r="L119" s="11" t="n"/>
      <c r="M119" s="12">
        <f>IF(OR(H119="",I119=""),"",(Profiles!$B$4*(Profiles!$B$10*H119+Profiles!$B$9*IF(J119="",H119,J119)+Profiles!$B$11*IF(K119="",H119,K119))+Profiles!$C$4*I119)/1000000+Profiles!$D$4*IF(L119="",0,L119))</f>
        <v/>
      </c>
      <c r="N119" s="12">
        <f>IF(OR(H119="",I119=""),"",(Profiles!$B$5*(Profiles!$B$10*H119+Profiles!$B$9*IF(J119="",H119,J119)+Profiles!$B$11*IF(K119="",H119,K119))+Profiles!$C$5*I119)/1000000+Profiles!$D$5*IF(L119="",0,L119))</f>
        <v/>
      </c>
      <c r="O119" s="12">
        <f>IF(OR(H119="",I119=""),"",(Profiles!$B$6*(Profiles!$B$10*H119+Profiles!$B$9*IF(J119="",H119,J119)+Profiles!$B$11*IF(K119="",H119,K119))+Profiles!$C$6*I119)/1000000+Profiles!$D$6*IF(L119="",0,L119))</f>
        <v/>
      </c>
      <c r="P119" s="12">
        <f>IF(OR(H119="",I119=""),"",(Profiles!$B$5*(Profiles!$B$10*H119+Profiles!$B$9*H119+Profiles!$B$11*H119)+Profiles!$C$5*I119)/1000000+Profiles!$D$5*IF(L119="",0,L119))</f>
        <v/>
      </c>
      <c r="Q119" t="inlineStr">
        <is>
          <t>2026-04-27</t>
        </is>
      </c>
    </row>
    <row r="120">
      <c r="A120" t="inlineStr">
        <is>
          <t>qwen/qwen3.6-plus</t>
        </is>
      </c>
      <c r="B120" t="inlineStr">
        <is>
          <t>Qwen: Qwen3.6 Plus</t>
        </is>
      </c>
      <c r="D120" t="inlineStr">
        <is>
          <t>yes</t>
        </is>
      </c>
      <c r="E120" t="inlineStr">
        <is>
          <t>yes</t>
        </is>
      </c>
      <c r="F120" s="10" t="n">
        <v>1000000</v>
      </c>
      <c r="H120" s="11" t="n">
        <v>0.325</v>
      </c>
      <c r="I120" s="11" t="n">
        <v>1.95</v>
      </c>
      <c r="J120" s="11" t="n"/>
      <c r="K120" s="11" t="n">
        <v>0.40625</v>
      </c>
      <c r="L120" s="11" t="n"/>
      <c r="M120" s="12">
        <f>IF(OR(H120="",I120=""),"",(Profiles!$B$4*(Profiles!$B$10*H120+Profiles!$B$9*IF(J120="",H120,J120)+Profiles!$B$11*IF(K120="",H120,K120))+Profiles!$C$4*I120)/1000000+Profiles!$D$4*IF(L120="",0,L120))</f>
        <v/>
      </c>
      <c r="N120" s="12">
        <f>IF(OR(H120="",I120=""),"",(Profiles!$B$5*(Profiles!$B$10*H120+Profiles!$B$9*IF(J120="",H120,J120)+Profiles!$B$11*IF(K120="",H120,K120))+Profiles!$C$5*I120)/1000000+Profiles!$D$5*IF(L120="",0,L120))</f>
        <v/>
      </c>
      <c r="O120" s="12">
        <f>IF(OR(H120="",I120=""),"",(Profiles!$B$6*(Profiles!$B$10*H120+Profiles!$B$9*IF(J120="",H120,J120)+Profiles!$B$11*IF(K120="",H120,K120))+Profiles!$C$6*I120)/1000000+Profiles!$D$6*IF(L120="",0,L120))</f>
        <v/>
      </c>
      <c r="P120" s="12">
        <f>IF(OR(H120="",I120=""),"",(Profiles!$B$5*(Profiles!$B$10*H120+Profiles!$B$9*H120+Profiles!$B$11*H120)+Profiles!$C$5*I120)/1000000+Profiles!$D$5*IF(L120="",0,L120))</f>
        <v/>
      </c>
      <c r="Q120" t="inlineStr">
        <is>
          <t>2026-04-02</t>
        </is>
      </c>
    </row>
    <row r="121">
      <c r="A121" t="inlineStr">
        <is>
          <t>mistralai/mistral-small-3.1-24b-instruct</t>
        </is>
      </c>
      <c r="B121" t="inlineStr">
        <is>
          <t>Mistral: Mistral Small 3.1 24B</t>
        </is>
      </c>
      <c r="D121" t="inlineStr">
        <is>
          <t>yes</t>
        </is>
      </c>
      <c r="E121" t="inlineStr">
        <is>
          <t>yes</t>
        </is>
      </c>
      <c r="F121" s="10" t="n">
        <v>128000</v>
      </c>
      <c r="H121" s="11" t="n">
        <v>0.351</v>
      </c>
      <c r="I121" s="11" t="n">
        <v>0.5549999999999999</v>
      </c>
      <c r="J121" s="11" t="n"/>
      <c r="K121" s="11" t="n"/>
      <c r="L121" s="11" t="n"/>
      <c r="M121" s="12">
        <f>IF(OR(H121="",I121=""),"",(Profiles!$B$4*(Profiles!$B$10*H121+Profiles!$B$9*IF(J121="",H121,J121)+Profiles!$B$11*IF(K121="",H121,K121))+Profiles!$C$4*I121)/1000000+Profiles!$D$4*IF(L121="",0,L121))</f>
        <v/>
      </c>
      <c r="N121" s="12">
        <f>IF(OR(H121="",I121=""),"",(Profiles!$B$5*(Profiles!$B$10*H121+Profiles!$B$9*IF(J121="",H121,J121)+Profiles!$B$11*IF(K121="",H121,K121))+Profiles!$C$5*I121)/1000000+Profiles!$D$5*IF(L121="",0,L121))</f>
        <v/>
      </c>
      <c r="O121" s="12">
        <f>IF(OR(H121="",I121=""),"",(Profiles!$B$6*(Profiles!$B$10*H121+Profiles!$B$9*IF(J121="",H121,J121)+Profiles!$B$11*IF(K121="",H121,K121))+Profiles!$C$6*I121)/1000000+Profiles!$D$6*IF(L121="",0,L121))</f>
        <v/>
      </c>
      <c r="P121" s="12">
        <f>IF(OR(H121="",I121=""),"",(Profiles!$B$5*(Profiles!$B$10*H121+Profiles!$B$9*H121+Profiles!$B$11*H121)+Profiles!$C$5*I121)/1000000+Profiles!$D$5*IF(L121="",0,L121))</f>
        <v/>
      </c>
      <c r="Q121" t="inlineStr">
        <is>
          <t>2025-03-17</t>
        </is>
      </c>
    </row>
    <row r="122">
      <c r="A122" t="inlineStr">
        <is>
          <t>z-ai/glm-5v-turbo</t>
        </is>
      </c>
      <c r="B122" t="inlineStr">
        <is>
          <t>Z.ai: GLM 5V Turbo</t>
        </is>
      </c>
      <c r="D122" t="inlineStr">
        <is>
          <t>yes</t>
        </is>
      </c>
      <c r="E122" t="inlineStr">
        <is>
          <t>yes</t>
        </is>
      </c>
      <c r="F122" s="10" t="n">
        <v>202752</v>
      </c>
      <c r="H122" s="11" t="n">
        <v>1.2</v>
      </c>
      <c r="I122" s="11" t="n">
        <v>4</v>
      </c>
      <c r="J122" s="11" t="n">
        <v>0.24</v>
      </c>
      <c r="K122" s="11" t="n"/>
      <c r="L122" s="11" t="n"/>
      <c r="M122" s="12">
        <f>IF(OR(H122="",I122=""),"",(Profiles!$B$4*(Profiles!$B$10*H122+Profiles!$B$9*IF(J122="",H122,J122)+Profiles!$B$11*IF(K122="",H122,K122))+Profiles!$C$4*I122)/1000000+Profiles!$D$4*IF(L122="",0,L122))</f>
        <v/>
      </c>
      <c r="N122" s="12">
        <f>IF(OR(H122="",I122=""),"",(Profiles!$B$5*(Profiles!$B$10*H122+Profiles!$B$9*IF(J122="",H122,J122)+Profiles!$B$11*IF(K122="",H122,K122))+Profiles!$C$5*I122)/1000000+Profiles!$D$5*IF(L122="",0,L122))</f>
        <v/>
      </c>
      <c r="O122" s="12">
        <f>IF(OR(H122="",I122=""),"",(Profiles!$B$6*(Profiles!$B$10*H122+Profiles!$B$9*IF(J122="",H122,J122)+Profiles!$B$11*IF(K122="",H122,K122))+Profiles!$C$6*I122)/1000000+Profiles!$D$6*IF(L122="",0,L122))</f>
        <v/>
      </c>
      <c r="P122" s="12">
        <f>IF(OR(H122="",I122=""),"",(Profiles!$B$5*(Profiles!$B$10*H122+Profiles!$B$9*H122+Profiles!$B$11*H122)+Profiles!$C$5*I122)/1000000+Profiles!$D$5*IF(L122="",0,L122))</f>
        <v/>
      </c>
      <c r="Q122" t="inlineStr">
        <is>
          <t>2026-04-01</t>
        </is>
      </c>
    </row>
    <row r="123">
      <c r="A123" t="inlineStr">
        <is>
          <t>openai/o4-mini-high</t>
        </is>
      </c>
      <c r="B123" t="inlineStr">
        <is>
          <t>OpenAI: o4 Mini High</t>
        </is>
      </c>
      <c r="D123" t="inlineStr">
        <is>
          <t>yes</t>
        </is>
      </c>
      <c r="E123" t="inlineStr">
        <is>
          <t>yes</t>
        </is>
      </c>
      <c r="F123" s="10" t="n">
        <v>200000</v>
      </c>
      <c r="H123" s="11" t="n">
        <v>1.1</v>
      </c>
      <c r="I123" s="11" t="n">
        <v>4.4</v>
      </c>
      <c r="J123" s="11" t="n">
        <v>0.275</v>
      </c>
      <c r="K123" s="11" t="n"/>
      <c r="L123" s="11" t="n"/>
      <c r="M123" s="12">
        <f>IF(OR(H123="",I123=""),"",(Profiles!$B$4*(Profiles!$B$10*H123+Profiles!$B$9*IF(J123="",H123,J123)+Profiles!$B$11*IF(K123="",H123,K123))+Profiles!$C$4*I123)/1000000+Profiles!$D$4*IF(L123="",0,L123))</f>
        <v/>
      </c>
      <c r="N123" s="12">
        <f>IF(OR(H123="",I123=""),"",(Profiles!$B$5*(Profiles!$B$10*H123+Profiles!$B$9*IF(J123="",H123,J123)+Profiles!$B$11*IF(K123="",H123,K123))+Profiles!$C$5*I123)/1000000+Profiles!$D$5*IF(L123="",0,L123))</f>
        <v/>
      </c>
      <c r="O123" s="12">
        <f>IF(OR(H123="",I123=""),"",(Profiles!$B$6*(Profiles!$B$10*H123+Profiles!$B$9*IF(J123="",H123,J123)+Profiles!$B$11*IF(K123="",H123,K123))+Profiles!$C$6*I123)/1000000+Profiles!$D$6*IF(L123="",0,L123))</f>
        <v/>
      </c>
      <c r="P123" s="12">
        <f>IF(OR(H123="",I123=""),"",(Profiles!$B$5*(Profiles!$B$10*H123+Profiles!$B$9*H123+Profiles!$B$11*H123)+Profiles!$C$5*I123)/1000000+Profiles!$D$5*IF(L123="",0,L123))</f>
        <v/>
      </c>
      <c r="Q123" t="inlineStr">
        <is>
          <t>2025-04-16</t>
        </is>
      </c>
    </row>
    <row r="124">
      <c r="A124" t="inlineStr">
        <is>
          <t>openai/o4-mini</t>
        </is>
      </c>
      <c r="B124" t="inlineStr">
        <is>
          <t>OpenAI: o4 Mini</t>
        </is>
      </c>
      <c r="D124" t="inlineStr">
        <is>
          <t>yes</t>
        </is>
      </c>
      <c r="E124" t="inlineStr">
        <is>
          <t>yes</t>
        </is>
      </c>
      <c r="F124" s="10" t="n">
        <v>200000</v>
      </c>
      <c r="H124" s="11" t="n">
        <v>1.1</v>
      </c>
      <c r="I124" s="11" t="n">
        <v>4.4</v>
      </c>
      <c r="J124" s="11" t="n">
        <v>0.275</v>
      </c>
      <c r="K124" s="11" t="n"/>
      <c r="L124" s="11" t="n"/>
      <c r="M124" s="12">
        <f>IF(OR(H124="",I124=""),"",(Profiles!$B$4*(Profiles!$B$10*H124+Profiles!$B$9*IF(J124="",H124,J124)+Profiles!$B$11*IF(K124="",H124,K124))+Profiles!$C$4*I124)/1000000+Profiles!$D$4*IF(L124="",0,L124))</f>
        <v/>
      </c>
      <c r="N124" s="12">
        <f>IF(OR(H124="",I124=""),"",(Profiles!$B$5*(Profiles!$B$10*H124+Profiles!$B$9*IF(J124="",H124,J124)+Profiles!$B$11*IF(K124="",H124,K124))+Profiles!$C$5*I124)/1000000+Profiles!$D$5*IF(L124="",0,L124))</f>
        <v/>
      </c>
      <c r="O124" s="12">
        <f>IF(OR(H124="",I124=""),"",(Profiles!$B$6*(Profiles!$B$10*H124+Profiles!$B$9*IF(J124="",H124,J124)+Profiles!$B$11*IF(K124="",H124,K124))+Profiles!$C$6*I124)/1000000+Profiles!$D$6*IF(L124="",0,L124))</f>
        <v/>
      </c>
      <c r="P124" s="12">
        <f>IF(OR(H124="",I124=""),"",(Profiles!$B$5*(Profiles!$B$10*H124+Profiles!$B$9*H124+Profiles!$B$11*H124)+Profiles!$C$5*I124)/1000000+Profiles!$D$5*IF(L124="",0,L124))</f>
        <v/>
      </c>
      <c r="Q124" t="inlineStr">
        <is>
          <t>2025-04-16</t>
        </is>
      </c>
    </row>
    <row r="125">
      <c r="A125" t="inlineStr">
        <is>
          <t>google/gemini-3-pro-image</t>
        </is>
      </c>
      <c r="B125" t="inlineStr">
        <is>
          <t>Google: Nano Banana Pro (Gemini 3 Pro Image)</t>
        </is>
      </c>
      <c r="D125" t="inlineStr">
        <is>
          <t>yes</t>
        </is>
      </c>
      <c r="E125" t="inlineStr">
        <is>
          <t>yes</t>
        </is>
      </c>
      <c r="F125" s="10" t="n">
        <v>131072</v>
      </c>
      <c r="H125" s="11" t="n">
        <v>2</v>
      </c>
      <c r="I125" s="11" t="n">
        <v>12</v>
      </c>
      <c r="J125" s="11" t="n">
        <v>0.2</v>
      </c>
      <c r="K125" s="11" t="n">
        <v>0.375</v>
      </c>
      <c r="L125" s="11" t="n">
        <v>2e-06</v>
      </c>
      <c r="M125" s="12">
        <f>IF(OR(H125="",I125=""),"",(Profiles!$B$4*(Profiles!$B$10*H125+Profiles!$B$9*IF(J125="",H125,J125)+Profiles!$B$11*IF(K125="",H125,K125))+Profiles!$C$4*I125)/1000000+Profiles!$D$4*IF(L125="",0,L125))</f>
        <v/>
      </c>
      <c r="N125" s="12">
        <f>IF(OR(H125="",I125=""),"",(Profiles!$B$5*(Profiles!$B$10*H125+Profiles!$B$9*IF(J125="",H125,J125)+Profiles!$B$11*IF(K125="",H125,K125))+Profiles!$C$5*I125)/1000000+Profiles!$D$5*IF(L125="",0,L125))</f>
        <v/>
      </c>
      <c r="O125" s="12">
        <f>IF(OR(H125="",I125=""),"",(Profiles!$B$6*(Profiles!$B$10*H125+Profiles!$B$9*IF(J125="",H125,J125)+Profiles!$B$11*IF(K125="",H125,K125))+Profiles!$C$6*I125)/1000000+Profiles!$D$6*IF(L125="",0,L125))</f>
        <v/>
      </c>
      <c r="P125" s="12">
        <f>IF(OR(H125="",I125=""),"",(Profiles!$B$5*(Profiles!$B$10*H125+Profiles!$B$9*H125+Profiles!$B$11*H125)+Profiles!$C$5*I125)/1000000+Profiles!$D$5*IF(L125="",0,L125))</f>
        <v/>
      </c>
      <c r="Q125" t="inlineStr">
        <is>
          <t>2026-06-18</t>
        </is>
      </c>
    </row>
    <row r="126">
      <c r="A126" t="inlineStr">
        <is>
          <t>~google/gemini-pro-latest</t>
        </is>
      </c>
      <c r="B126" t="inlineStr">
        <is>
          <t>Google: Gemini Pro Latest</t>
        </is>
      </c>
      <c r="D126" t="inlineStr">
        <is>
          <t>yes</t>
        </is>
      </c>
      <c r="E126" t="inlineStr">
        <is>
          <t>yes</t>
        </is>
      </c>
      <c r="F126" s="10" t="n">
        <v>1048576</v>
      </c>
      <c r="G126" t="inlineStr">
        <is>
          <t>alias (latest)</t>
        </is>
      </c>
      <c r="H126" s="11" t="n">
        <v>2</v>
      </c>
      <c r="I126" s="11" t="n">
        <v>12</v>
      </c>
      <c r="J126" s="11" t="n">
        <v>0.2</v>
      </c>
      <c r="K126" s="11" t="n">
        <v>0.375</v>
      </c>
      <c r="L126" s="11" t="n">
        <v>2e-06</v>
      </c>
      <c r="M126" s="12">
        <f>IF(OR(H126="",I126=""),"",(Profiles!$B$4*(Profiles!$B$10*H126+Profiles!$B$9*IF(J126="",H126,J126)+Profiles!$B$11*IF(K126="",H126,K126))+Profiles!$C$4*I126)/1000000+Profiles!$D$4*IF(L126="",0,L126))</f>
        <v/>
      </c>
      <c r="N126" s="12">
        <f>IF(OR(H126="",I126=""),"",(Profiles!$B$5*(Profiles!$B$10*H126+Profiles!$B$9*IF(J126="",H126,J126)+Profiles!$B$11*IF(K126="",H126,K126))+Profiles!$C$5*I126)/1000000+Profiles!$D$5*IF(L126="",0,L126))</f>
        <v/>
      </c>
      <c r="O126" s="12">
        <f>IF(OR(H126="",I126=""),"",(Profiles!$B$6*(Profiles!$B$10*H126+Profiles!$B$9*IF(J126="",H126,J126)+Profiles!$B$11*IF(K126="",H126,K126))+Profiles!$C$6*I126)/1000000+Profiles!$D$6*IF(L126="",0,L126))</f>
        <v/>
      </c>
      <c r="P126" s="12">
        <f>IF(OR(H126="",I126=""),"",(Profiles!$B$5*(Profiles!$B$10*H126+Profiles!$B$9*H126+Profiles!$B$11*H126)+Profiles!$C$5*I126)/1000000+Profiles!$D$5*IF(L126="",0,L126))</f>
        <v/>
      </c>
      <c r="Q126" t="inlineStr">
        <is>
          <t>2026-04-27</t>
        </is>
      </c>
    </row>
    <row r="127">
      <c r="A127" t="inlineStr">
        <is>
          <t>google/gemini-3.1-pro-preview-customtools</t>
        </is>
      </c>
      <c r="B127" t="inlineStr">
        <is>
          <t>Google: Gemini 3.1 Pro Preview Custom Tools</t>
        </is>
      </c>
      <c r="D127" t="inlineStr">
        <is>
          <t>yes</t>
        </is>
      </c>
      <c r="E127" t="inlineStr">
        <is>
          <t>yes</t>
        </is>
      </c>
      <c r="F127" s="10" t="n">
        <v>1048576</v>
      </c>
      <c r="H127" s="11" t="n">
        <v>2</v>
      </c>
      <c r="I127" s="11" t="n">
        <v>12</v>
      </c>
      <c r="J127" s="11" t="n">
        <v>0.2</v>
      </c>
      <c r="K127" s="11" t="n">
        <v>0.375</v>
      </c>
      <c r="L127" s="11" t="n">
        <v>2e-06</v>
      </c>
      <c r="M127" s="12">
        <f>IF(OR(H127="",I127=""),"",(Profiles!$B$4*(Profiles!$B$10*H127+Profiles!$B$9*IF(J127="",H127,J127)+Profiles!$B$11*IF(K127="",H127,K127))+Profiles!$C$4*I127)/1000000+Profiles!$D$4*IF(L127="",0,L127))</f>
        <v/>
      </c>
      <c r="N127" s="12">
        <f>IF(OR(H127="",I127=""),"",(Profiles!$B$5*(Profiles!$B$10*H127+Profiles!$B$9*IF(J127="",H127,J127)+Profiles!$B$11*IF(K127="",H127,K127))+Profiles!$C$5*I127)/1000000+Profiles!$D$5*IF(L127="",0,L127))</f>
        <v/>
      </c>
      <c r="O127" s="12">
        <f>IF(OR(H127="",I127=""),"",(Profiles!$B$6*(Profiles!$B$10*H127+Profiles!$B$9*IF(J127="",H127,J127)+Profiles!$B$11*IF(K127="",H127,K127))+Profiles!$C$6*I127)/1000000+Profiles!$D$6*IF(L127="",0,L127))</f>
        <v/>
      </c>
      <c r="P127" s="12">
        <f>IF(OR(H127="",I127=""),"",(Profiles!$B$5*(Profiles!$B$10*H127+Profiles!$B$9*H127+Profiles!$B$11*H127)+Profiles!$C$5*I127)/1000000+Profiles!$D$5*IF(L127="",0,L127))</f>
        <v/>
      </c>
      <c r="Q127" t="inlineStr">
        <is>
          <t>2026-02-25</t>
        </is>
      </c>
    </row>
    <row r="128">
      <c r="A128" t="inlineStr">
        <is>
          <t>google/gemini-3.1-pro-preview</t>
        </is>
      </c>
      <c r="B128" t="inlineStr">
        <is>
          <t>Google: Gemini 3.1 Pro Preview</t>
        </is>
      </c>
      <c r="D128" t="inlineStr">
        <is>
          <t>yes</t>
        </is>
      </c>
      <c r="E128" t="inlineStr">
        <is>
          <t>yes</t>
        </is>
      </c>
      <c r="F128" s="10" t="n">
        <v>1048576</v>
      </c>
      <c r="H128" s="11" t="n">
        <v>2</v>
      </c>
      <c r="I128" s="11" t="n">
        <v>12</v>
      </c>
      <c r="J128" s="11" t="n">
        <v>0.2</v>
      </c>
      <c r="K128" s="11" t="n">
        <v>0.375</v>
      </c>
      <c r="L128" s="11" t="n">
        <v>2e-06</v>
      </c>
      <c r="M128" s="12">
        <f>IF(OR(H128="",I128=""),"",(Profiles!$B$4*(Profiles!$B$10*H128+Profiles!$B$9*IF(J128="",H128,J128)+Profiles!$B$11*IF(K128="",H128,K128))+Profiles!$C$4*I128)/1000000+Profiles!$D$4*IF(L128="",0,L128))</f>
        <v/>
      </c>
      <c r="N128" s="12">
        <f>IF(OR(H128="",I128=""),"",(Profiles!$B$5*(Profiles!$B$10*H128+Profiles!$B$9*IF(J128="",H128,J128)+Profiles!$B$11*IF(K128="",H128,K128))+Profiles!$C$5*I128)/1000000+Profiles!$D$5*IF(L128="",0,L128))</f>
        <v/>
      </c>
      <c r="O128" s="12">
        <f>IF(OR(H128="",I128=""),"",(Profiles!$B$6*(Profiles!$B$10*H128+Profiles!$B$9*IF(J128="",H128,J128)+Profiles!$B$11*IF(K128="",H128,K128))+Profiles!$C$6*I128)/1000000+Profiles!$D$6*IF(L128="",0,L128))</f>
        <v/>
      </c>
      <c r="P128" s="12">
        <f>IF(OR(H128="",I128=""),"",(Profiles!$B$5*(Profiles!$B$10*H128+Profiles!$B$9*H128+Profiles!$B$11*H128)+Profiles!$C$5*I128)/1000000+Profiles!$D$5*IF(L128="",0,L128))</f>
        <v/>
      </c>
      <c r="Q128" t="inlineStr">
        <is>
          <t>2026-02-19</t>
        </is>
      </c>
    </row>
    <row r="129">
      <c r="A129" t="inlineStr">
        <is>
          <t>qwen/qwen3-vl-235b-a22b-thinking</t>
        </is>
      </c>
      <c r="B129" t="inlineStr">
        <is>
          <t>Qwen: Qwen3 VL 235B A22B Thinking</t>
        </is>
      </c>
      <c r="D129" t="inlineStr">
        <is>
          <t>yes</t>
        </is>
      </c>
      <c r="E129" t="inlineStr">
        <is>
          <t>yes</t>
        </is>
      </c>
      <c r="F129" s="10" t="n">
        <v>131072</v>
      </c>
      <c r="H129" s="11" t="n">
        <v>0.4</v>
      </c>
      <c r="I129" s="11" t="n">
        <v>4</v>
      </c>
      <c r="J129" s="11" t="n"/>
      <c r="K129" s="11" t="n"/>
      <c r="L129" s="11" t="n"/>
      <c r="M129" s="12">
        <f>IF(OR(H129="",I129=""),"",(Profiles!$B$4*(Profiles!$B$10*H129+Profiles!$B$9*IF(J129="",H129,J129)+Profiles!$B$11*IF(K129="",H129,K129))+Profiles!$C$4*I129)/1000000+Profiles!$D$4*IF(L129="",0,L129))</f>
        <v/>
      </c>
      <c r="N129" s="12">
        <f>IF(OR(H129="",I129=""),"",(Profiles!$B$5*(Profiles!$B$10*H129+Profiles!$B$9*IF(J129="",H129,J129)+Profiles!$B$11*IF(K129="",H129,K129))+Profiles!$C$5*I129)/1000000+Profiles!$D$5*IF(L129="",0,L129))</f>
        <v/>
      </c>
      <c r="O129" s="12">
        <f>IF(OR(H129="",I129=""),"",(Profiles!$B$6*(Profiles!$B$10*H129+Profiles!$B$9*IF(J129="",H129,J129)+Profiles!$B$11*IF(K129="",H129,K129))+Profiles!$C$6*I129)/1000000+Profiles!$D$6*IF(L129="",0,L129))</f>
        <v/>
      </c>
      <c r="P129" s="12">
        <f>IF(OR(H129="",I129=""),"",(Profiles!$B$5*(Profiles!$B$10*H129+Profiles!$B$9*H129+Profiles!$B$11*H129)+Profiles!$C$5*I129)/1000000+Profiles!$D$5*IF(L129="",0,L129))</f>
        <v/>
      </c>
      <c r="Q129" t="inlineStr">
        <is>
          <t>2025-09-24</t>
        </is>
      </c>
      <c r="R129" t="inlineStr">
        <is>
          <t>2026-10-09</t>
        </is>
      </c>
    </row>
    <row r="130">
      <c r="A130" t="inlineStr">
        <is>
          <t>openai/gpt-5.3-codex</t>
        </is>
      </c>
      <c r="B130" t="inlineStr">
        <is>
          <t>OpenAI: GPT-5.3-Codex</t>
        </is>
      </c>
      <c r="D130" t="inlineStr">
        <is>
          <t>yes</t>
        </is>
      </c>
      <c r="E130" t="inlineStr">
        <is>
          <t>yes</t>
        </is>
      </c>
      <c r="F130" s="10" t="n">
        <v>400000</v>
      </c>
      <c r="H130" s="11" t="n">
        <v>1.75</v>
      </c>
      <c r="I130" s="11" t="n">
        <v>14</v>
      </c>
      <c r="J130" s="11" t="n">
        <v>0.175</v>
      </c>
      <c r="K130" s="11" t="n"/>
      <c r="L130" s="11" t="n"/>
      <c r="M130" s="12">
        <f>IF(OR(H130="",I130=""),"",(Profiles!$B$4*(Profiles!$B$10*H130+Profiles!$B$9*IF(J130="",H130,J130)+Profiles!$B$11*IF(K130="",H130,K130))+Profiles!$C$4*I130)/1000000+Profiles!$D$4*IF(L130="",0,L130))</f>
        <v/>
      </c>
      <c r="N130" s="12">
        <f>IF(OR(H130="",I130=""),"",(Profiles!$B$5*(Profiles!$B$10*H130+Profiles!$B$9*IF(J130="",H130,J130)+Profiles!$B$11*IF(K130="",H130,K130))+Profiles!$C$5*I130)/1000000+Profiles!$D$5*IF(L130="",0,L130))</f>
        <v/>
      </c>
      <c r="O130" s="12">
        <f>IF(OR(H130="",I130=""),"",(Profiles!$B$6*(Profiles!$B$10*H130+Profiles!$B$9*IF(J130="",H130,J130)+Profiles!$B$11*IF(K130="",H130,K130))+Profiles!$C$6*I130)/1000000+Profiles!$D$6*IF(L130="",0,L130))</f>
        <v/>
      </c>
      <c r="P130" s="12">
        <f>IF(OR(H130="",I130=""),"",(Profiles!$B$5*(Profiles!$B$10*H130+Profiles!$B$9*H130+Profiles!$B$11*H130)+Profiles!$C$5*I130)/1000000+Profiles!$D$5*IF(L130="",0,L130))</f>
        <v/>
      </c>
      <c r="Q130" t="inlineStr">
        <is>
          <t>2026-02-24</t>
        </is>
      </c>
    </row>
    <row r="131">
      <c r="A131" t="inlineStr">
        <is>
          <t>openai/gpt-5.2-codex</t>
        </is>
      </c>
      <c r="B131" t="inlineStr">
        <is>
          <t>OpenAI: GPT-5.2-Codex</t>
        </is>
      </c>
      <c r="D131" t="inlineStr">
        <is>
          <t>yes</t>
        </is>
      </c>
      <c r="E131" t="inlineStr">
        <is>
          <t>yes</t>
        </is>
      </c>
      <c r="F131" s="10" t="n">
        <v>400000</v>
      </c>
      <c r="H131" s="11" t="n">
        <v>1.75</v>
      </c>
      <c r="I131" s="11" t="n">
        <v>14</v>
      </c>
      <c r="J131" s="11" t="n">
        <v>0.175</v>
      </c>
      <c r="K131" s="11" t="n"/>
      <c r="L131" s="11" t="n"/>
      <c r="M131" s="12">
        <f>IF(OR(H131="",I131=""),"",(Profiles!$B$4*(Profiles!$B$10*H131+Profiles!$B$9*IF(J131="",H131,J131)+Profiles!$B$11*IF(K131="",H131,K131))+Profiles!$C$4*I131)/1000000+Profiles!$D$4*IF(L131="",0,L131))</f>
        <v/>
      </c>
      <c r="N131" s="12">
        <f>IF(OR(H131="",I131=""),"",(Profiles!$B$5*(Profiles!$B$10*H131+Profiles!$B$9*IF(J131="",H131,J131)+Profiles!$B$11*IF(K131="",H131,K131))+Profiles!$C$5*I131)/1000000+Profiles!$D$5*IF(L131="",0,L131))</f>
        <v/>
      </c>
      <c r="O131" s="12">
        <f>IF(OR(H131="",I131=""),"",(Profiles!$B$6*(Profiles!$B$10*H131+Profiles!$B$9*IF(J131="",H131,J131)+Profiles!$B$11*IF(K131="",H131,K131))+Profiles!$C$6*I131)/1000000+Profiles!$D$6*IF(L131="",0,L131))</f>
        <v/>
      </c>
      <c r="P131" s="12">
        <f>IF(OR(H131="",I131=""),"",(Profiles!$B$5*(Profiles!$B$10*H131+Profiles!$B$9*H131+Profiles!$B$11*H131)+Profiles!$C$5*I131)/1000000+Profiles!$D$5*IF(L131="",0,L131))</f>
        <v/>
      </c>
      <c r="Q131" t="inlineStr">
        <is>
          <t>2026-01-14</t>
        </is>
      </c>
    </row>
    <row r="132">
      <c r="A132" t="inlineStr">
        <is>
          <t>openai/gpt-5.2-chat</t>
        </is>
      </c>
      <c r="B132" t="inlineStr">
        <is>
          <t>OpenAI: GPT-5.2 Chat</t>
        </is>
      </c>
      <c r="D132" t="inlineStr">
        <is>
          <t>yes</t>
        </is>
      </c>
      <c r="E132" t="inlineStr">
        <is>
          <t>yes</t>
        </is>
      </c>
      <c r="F132" s="10" t="n">
        <v>128000</v>
      </c>
      <c r="H132" s="11" t="n">
        <v>1.75</v>
      </c>
      <c r="I132" s="11" t="n">
        <v>14</v>
      </c>
      <c r="J132" s="11" t="n">
        <v>0.175</v>
      </c>
      <c r="K132" s="11" t="n"/>
      <c r="L132" s="11" t="n"/>
      <c r="M132" s="12">
        <f>IF(OR(H132="",I132=""),"",(Profiles!$B$4*(Profiles!$B$10*H132+Profiles!$B$9*IF(J132="",H132,J132)+Profiles!$B$11*IF(K132="",H132,K132))+Profiles!$C$4*I132)/1000000+Profiles!$D$4*IF(L132="",0,L132))</f>
        <v/>
      </c>
      <c r="N132" s="12">
        <f>IF(OR(H132="",I132=""),"",(Profiles!$B$5*(Profiles!$B$10*H132+Profiles!$B$9*IF(J132="",H132,J132)+Profiles!$B$11*IF(K132="",H132,K132))+Profiles!$C$5*I132)/1000000+Profiles!$D$5*IF(L132="",0,L132))</f>
        <v/>
      </c>
      <c r="O132" s="12">
        <f>IF(OR(H132="",I132=""),"",(Profiles!$B$6*(Profiles!$B$10*H132+Profiles!$B$9*IF(J132="",H132,J132)+Profiles!$B$11*IF(K132="",H132,K132))+Profiles!$C$6*I132)/1000000+Profiles!$D$6*IF(L132="",0,L132))</f>
        <v/>
      </c>
      <c r="P132" s="12">
        <f>IF(OR(H132="",I132=""),"",(Profiles!$B$5*(Profiles!$B$10*H132+Profiles!$B$9*H132+Profiles!$B$11*H132)+Profiles!$C$5*I132)/1000000+Profiles!$D$5*IF(L132="",0,L132))</f>
        <v/>
      </c>
      <c r="Q132" t="inlineStr">
        <is>
          <t>2025-12-10</t>
        </is>
      </c>
    </row>
    <row r="133">
      <c r="A133" t="inlineStr">
        <is>
          <t>openai/gpt-5.2</t>
        </is>
      </c>
      <c r="B133" t="inlineStr">
        <is>
          <t>OpenAI: GPT-5.2</t>
        </is>
      </c>
      <c r="D133" t="inlineStr">
        <is>
          <t>yes</t>
        </is>
      </c>
      <c r="E133" t="inlineStr">
        <is>
          <t>yes</t>
        </is>
      </c>
      <c r="F133" s="10" t="n">
        <v>400000</v>
      </c>
      <c r="H133" s="11" t="n">
        <v>1.75</v>
      </c>
      <c r="I133" s="11" t="n">
        <v>14</v>
      </c>
      <c r="J133" s="11" t="n">
        <v>0.175</v>
      </c>
      <c r="K133" s="11" t="n"/>
      <c r="L133" s="11" t="n"/>
      <c r="M133" s="12">
        <f>IF(OR(H133="",I133=""),"",(Profiles!$B$4*(Profiles!$B$10*H133+Profiles!$B$9*IF(J133="",H133,J133)+Profiles!$B$11*IF(K133="",H133,K133))+Profiles!$C$4*I133)/1000000+Profiles!$D$4*IF(L133="",0,L133))</f>
        <v/>
      </c>
      <c r="N133" s="12">
        <f>IF(OR(H133="",I133=""),"",(Profiles!$B$5*(Profiles!$B$10*H133+Profiles!$B$9*IF(J133="",H133,J133)+Profiles!$B$11*IF(K133="",H133,K133))+Profiles!$C$5*I133)/1000000+Profiles!$D$5*IF(L133="",0,L133))</f>
        <v/>
      </c>
      <c r="O133" s="12">
        <f>IF(OR(H133="",I133=""),"",(Profiles!$B$6*(Profiles!$B$10*H133+Profiles!$B$9*IF(J133="",H133,J133)+Profiles!$B$11*IF(K133="",H133,K133))+Profiles!$C$6*I133)/1000000+Profiles!$D$6*IF(L133="",0,L133))</f>
        <v/>
      </c>
      <c r="P133" s="12">
        <f>IF(OR(H133="",I133=""),"",(Profiles!$B$5*(Profiles!$B$10*H133+Profiles!$B$9*H133+Profiles!$B$11*H133)+Profiles!$C$5*I133)/1000000+Profiles!$D$5*IF(L133="",0,L133))</f>
        <v/>
      </c>
      <c r="Q133" t="inlineStr">
        <is>
          <t>2025-12-10</t>
        </is>
      </c>
    </row>
    <row r="134">
      <c r="A134" t="inlineStr">
        <is>
          <t>~moonshotai/kimi-latest</t>
        </is>
      </c>
      <c r="B134" t="inlineStr">
        <is>
          <t>MoonshotAI: Kimi Latest</t>
        </is>
      </c>
      <c r="D134" t="inlineStr">
        <is>
          <t>yes</t>
        </is>
      </c>
      <c r="E134" t="inlineStr">
        <is>
          <t>yes</t>
        </is>
      </c>
      <c r="F134" s="10" t="n">
        <v>1048576</v>
      </c>
      <c r="G134" t="inlineStr">
        <is>
          <t>alias (latest)</t>
        </is>
      </c>
      <c r="H134" s="11" t="n">
        <v>1</v>
      </c>
      <c r="I134" s="11" t="n">
        <v>9</v>
      </c>
      <c r="J134" s="11" t="n">
        <v>0.3</v>
      </c>
      <c r="K134" s="11" t="n"/>
      <c r="L134" s="11" t="n"/>
      <c r="M134" s="12">
        <f>IF(OR(H134="",I134=""),"",(Profiles!$B$4*(Profiles!$B$10*H134+Profiles!$B$9*IF(J134="",H134,J134)+Profiles!$B$11*IF(K134="",H134,K134))+Profiles!$C$4*I134)/1000000+Profiles!$D$4*IF(L134="",0,L134))</f>
        <v/>
      </c>
      <c r="N134" s="12">
        <f>IF(OR(H134="",I134=""),"",(Profiles!$B$5*(Profiles!$B$10*H134+Profiles!$B$9*IF(J134="",H134,J134)+Profiles!$B$11*IF(K134="",H134,K134))+Profiles!$C$5*I134)/1000000+Profiles!$D$5*IF(L134="",0,L134))</f>
        <v/>
      </c>
      <c r="O134" s="12">
        <f>IF(OR(H134="",I134=""),"",(Profiles!$B$6*(Profiles!$B$10*H134+Profiles!$B$9*IF(J134="",H134,J134)+Profiles!$B$11*IF(K134="",H134,K134))+Profiles!$C$6*I134)/1000000+Profiles!$D$6*IF(L134="",0,L134))</f>
        <v/>
      </c>
      <c r="P134" s="12">
        <f>IF(OR(H134="",I134=""),"",(Profiles!$B$5*(Profiles!$B$10*H134+Profiles!$B$9*H134+Profiles!$B$11*H134)+Profiles!$C$5*I134)/1000000+Profiles!$D$5*IF(L134="",0,L134))</f>
        <v/>
      </c>
      <c r="Q134" t="inlineStr">
        <is>
          <t>2026-04-27</t>
        </is>
      </c>
    </row>
    <row r="135">
      <c r="A135" t="inlineStr">
        <is>
          <t>openai/gpt-6-sol-pro</t>
        </is>
      </c>
      <c r="B135" t="inlineStr">
        <is>
          <t>OpenAI: GPT-6 Sol Pro</t>
        </is>
      </c>
      <c r="D135" t="inlineStr">
        <is>
          <t>yes</t>
        </is>
      </c>
      <c r="E135" t="inlineStr">
        <is>
          <t>yes</t>
        </is>
      </c>
      <c r="F135" s="10" t="n">
        <v>1050000</v>
      </c>
      <c r="H135" s="11" t="n">
        <v>2</v>
      </c>
      <c r="I135" s="11" t="n">
        <v>10</v>
      </c>
      <c r="J135" s="11" t="n">
        <v>0.2</v>
      </c>
      <c r="K135" s="11" t="n">
        <v>2.5</v>
      </c>
      <c r="L135" s="11" t="n"/>
      <c r="M135" s="12">
        <f>IF(OR(H135="",I135=""),"",(Profiles!$B$4*(Profiles!$B$10*H135+Profiles!$B$9*IF(J135="",H135,J135)+Profiles!$B$11*IF(K135="",H135,K135))+Profiles!$C$4*I135)/1000000+Profiles!$D$4*IF(L135="",0,L135))</f>
        <v/>
      </c>
      <c r="N135" s="12">
        <f>IF(OR(H135="",I135=""),"",(Profiles!$B$5*(Profiles!$B$10*H135+Profiles!$B$9*IF(J135="",H135,J135)+Profiles!$B$11*IF(K135="",H135,K135))+Profiles!$C$5*I135)/1000000+Profiles!$D$5*IF(L135="",0,L135))</f>
        <v/>
      </c>
      <c r="O135" s="12">
        <f>IF(OR(H135="",I135=""),"",(Profiles!$B$6*(Profiles!$B$10*H135+Profiles!$B$9*IF(J135="",H135,J135)+Profiles!$B$11*IF(K135="",H135,K135))+Profiles!$C$6*I135)/1000000+Profiles!$D$6*IF(L135="",0,L135))</f>
        <v/>
      </c>
      <c r="P135" s="12">
        <f>IF(OR(H135="",I135=""),"",(Profiles!$B$5*(Profiles!$B$10*H135+Profiles!$B$9*H135+Profiles!$B$11*H135)+Profiles!$C$5*I135)/1000000+Profiles!$D$5*IF(L135="",0,L135))</f>
        <v/>
      </c>
      <c r="Q135" t="inlineStr">
        <is>
          <t>2026-09-22</t>
        </is>
      </c>
    </row>
    <row r="136">
      <c r="A136" t="inlineStr">
        <is>
          <t>openai/gpt-6-sol</t>
        </is>
      </c>
      <c r="B136" t="inlineStr">
        <is>
          <t>OpenAI: GPT-6 Sol</t>
        </is>
      </c>
      <c r="D136" t="inlineStr">
        <is>
          <t>yes</t>
        </is>
      </c>
      <c r="E136" t="inlineStr">
        <is>
          <t>yes</t>
        </is>
      </c>
      <c r="F136" s="10" t="n">
        <v>1050000</v>
      </c>
      <c r="H136" s="11" t="n">
        <v>2</v>
      </c>
      <c r="I136" s="11" t="n">
        <v>10</v>
      </c>
      <c r="J136" s="11" t="n">
        <v>0.2</v>
      </c>
      <c r="K136" s="11" t="n">
        <v>2.5</v>
      </c>
      <c r="L136" s="11" t="n"/>
      <c r="M136" s="12">
        <f>IF(OR(H136="",I136=""),"",(Profiles!$B$4*(Profiles!$B$10*H136+Profiles!$B$9*IF(J136="",H136,J136)+Profiles!$B$11*IF(K136="",H136,K136))+Profiles!$C$4*I136)/1000000+Profiles!$D$4*IF(L136="",0,L136))</f>
        <v/>
      </c>
      <c r="N136" s="12">
        <f>IF(OR(H136="",I136=""),"",(Profiles!$B$5*(Profiles!$B$10*H136+Profiles!$B$9*IF(J136="",H136,J136)+Profiles!$B$11*IF(K136="",H136,K136))+Profiles!$C$5*I136)/1000000+Profiles!$D$5*IF(L136="",0,L136))</f>
        <v/>
      </c>
      <c r="O136" s="12">
        <f>IF(OR(H136="",I136=""),"",(Profiles!$B$6*(Profiles!$B$10*H136+Profiles!$B$9*IF(J136="",H136,J136)+Profiles!$B$11*IF(K136="",H136,K136))+Profiles!$C$6*I136)/1000000+Profiles!$D$6*IF(L136="",0,L136))</f>
        <v/>
      </c>
      <c r="P136" s="12">
        <f>IF(OR(H136="",I136=""),"",(Profiles!$B$5*(Profiles!$B$10*H136+Profiles!$B$9*H136+Profiles!$B$11*H136)+Profiles!$C$5*I136)/1000000+Profiles!$D$5*IF(L136="",0,L136))</f>
        <v/>
      </c>
      <c r="Q136" t="inlineStr">
        <is>
          <t>2026-09-22</t>
        </is>
      </c>
    </row>
    <row r="137">
      <c r="A137" t="inlineStr">
        <is>
          <t>~openai/gpt-sol-latest</t>
        </is>
      </c>
      <c r="B137" t="inlineStr">
        <is>
          <t>OpenAI: GPT Sol Latest</t>
        </is>
      </c>
      <c r="D137" t="inlineStr">
        <is>
          <t>yes</t>
        </is>
      </c>
      <c r="E137" t="inlineStr">
        <is>
          <t>yes</t>
        </is>
      </c>
      <c r="F137" s="10" t="n">
        <v>1050000</v>
      </c>
      <c r="G137" t="inlineStr">
        <is>
          <t>alias (latest)</t>
        </is>
      </c>
      <c r="H137" s="11" t="n">
        <v>2</v>
      </c>
      <c r="I137" s="11" t="n">
        <v>10</v>
      </c>
      <c r="J137" s="11" t="n">
        <v>0.2</v>
      </c>
      <c r="K137" s="11" t="n">
        <v>2.5</v>
      </c>
      <c r="L137" s="11" t="n"/>
      <c r="M137" s="12">
        <f>IF(OR(H137="",I137=""),"",(Profiles!$B$4*(Profiles!$B$10*H137+Profiles!$B$9*IF(J137="",H137,J137)+Profiles!$B$11*IF(K137="",H137,K137))+Profiles!$C$4*I137)/1000000+Profiles!$D$4*IF(L137="",0,L137))</f>
        <v/>
      </c>
      <c r="N137" s="12">
        <f>IF(OR(H137="",I137=""),"",(Profiles!$B$5*(Profiles!$B$10*H137+Profiles!$B$9*IF(J137="",H137,J137)+Profiles!$B$11*IF(K137="",H137,K137))+Profiles!$C$5*I137)/1000000+Profiles!$D$5*IF(L137="",0,L137))</f>
        <v/>
      </c>
      <c r="O137" s="12">
        <f>IF(OR(H137="",I137=""),"",(Profiles!$B$6*(Profiles!$B$10*H137+Profiles!$B$9*IF(J137="",H137,J137)+Profiles!$B$11*IF(K137="",H137,K137))+Profiles!$C$6*I137)/1000000+Profiles!$D$6*IF(L137="",0,L137))</f>
        <v/>
      </c>
      <c r="P137" s="12">
        <f>IF(OR(H137="",I137=""),"",(Profiles!$B$5*(Profiles!$B$10*H137+Profiles!$B$9*H137+Profiles!$B$11*H137)+Profiles!$C$5*I137)/1000000+Profiles!$D$5*IF(L137="",0,L137))</f>
        <v/>
      </c>
      <c r="Q137" t="inlineStr">
        <is>
          <t>2026-09-11</t>
        </is>
      </c>
    </row>
    <row r="138">
      <c r="A138" t="inlineStr">
        <is>
          <t>openai/gpt-5.6-sol-pro</t>
        </is>
      </c>
      <c r="B138" t="inlineStr">
        <is>
          <t>OpenAI: GPT-5.6 Sol Pro</t>
        </is>
      </c>
      <c r="D138" t="inlineStr">
        <is>
          <t>yes</t>
        </is>
      </c>
      <c r="E138" t="inlineStr">
        <is>
          <t>yes</t>
        </is>
      </c>
      <c r="F138" s="10" t="n">
        <v>1050000</v>
      </c>
      <c r="H138" s="11" t="n">
        <v>2</v>
      </c>
      <c r="I138" s="11" t="n">
        <v>10</v>
      </c>
      <c r="J138" s="11" t="n">
        <v>0.2</v>
      </c>
      <c r="K138" s="11" t="n">
        <v>2.5</v>
      </c>
      <c r="L138" s="11" t="n"/>
      <c r="M138" s="12">
        <f>IF(OR(H138="",I138=""),"",(Profiles!$B$4*(Profiles!$B$10*H138+Profiles!$B$9*IF(J138="",H138,J138)+Profiles!$B$11*IF(K138="",H138,K138))+Profiles!$C$4*I138)/1000000+Profiles!$D$4*IF(L138="",0,L138))</f>
        <v/>
      </c>
      <c r="N138" s="12">
        <f>IF(OR(H138="",I138=""),"",(Profiles!$B$5*(Profiles!$B$10*H138+Profiles!$B$9*IF(J138="",H138,J138)+Profiles!$B$11*IF(K138="",H138,K138))+Profiles!$C$5*I138)/1000000+Profiles!$D$5*IF(L138="",0,L138))</f>
        <v/>
      </c>
      <c r="O138" s="12">
        <f>IF(OR(H138="",I138=""),"",(Profiles!$B$6*(Profiles!$B$10*H138+Profiles!$B$9*IF(J138="",H138,J138)+Profiles!$B$11*IF(K138="",H138,K138))+Profiles!$C$6*I138)/1000000+Profiles!$D$6*IF(L138="",0,L138))</f>
        <v/>
      </c>
      <c r="P138" s="12">
        <f>IF(OR(H138="",I138=""),"",(Profiles!$B$5*(Profiles!$B$10*H138+Profiles!$B$9*H138+Profiles!$B$11*H138)+Profiles!$C$5*I138)/1000000+Profiles!$D$5*IF(L138="",0,L138))</f>
        <v/>
      </c>
      <c r="Q138" t="inlineStr">
        <is>
          <t>2026-07-09</t>
        </is>
      </c>
    </row>
    <row r="139">
      <c r="A139" t="inlineStr">
        <is>
          <t>openai/gpt-5.6-sol</t>
        </is>
      </c>
      <c r="B139" t="inlineStr">
        <is>
          <t>OpenAI: GPT-5.6 Sol</t>
        </is>
      </c>
      <c r="D139" t="inlineStr">
        <is>
          <t>yes</t>
        </is>
      </c>
      <c r="E139" t="inlineStr">
        <is>
          <t>yes</t>
        </is>
      </c>
      <c r="F139" s="10" t="n">
        <v>1050000</v>
      </c>
      <c r="H139" s="11" t="n">
        <v>2</v>
      </c>
      <c r="I139" s="11" t="n">
        <v>10</v>
      </c>
      <c r="J139" s="11" t="n">
        <v>0.2</v>
      </c>
      <c r="K139" s="11" t="n">
        <v>2.5</v>
      </c>
      <c r="L139" s="11" t="n"/>
      <c r="M139" s="12">
        <f>IF(OR(H139="",I139=""),"",(Profiles!$B$4*(Profiles!$B$10*H139+Profiles!$B$9*IF(J139="",H139,J139)+Profiles!$B$11*IF(K139="",H139,K139))+Profiles!$C$4*I139)/1000000+Profiles!$D$4*IF(L139="",0,L139))</f>
        <v/>
      </c>
      <c r="N139" s="12">
        <f>IF(OR(H139="",I139=""),"",(Profiles!$B$5*(Profiles!$B$10*H139+Profiles!$B$9*IF(J139="",H139,J139)+Profiles!$B$11*IF(K139="",H139,K139))+Profiles!$C$5*I139)/1000000+Profiles!$D$5*IF(L139="",0,L139))</f>
        <v/>
      </c>
      <c r="O139" s="12">
        <f>IF(OR(H139="",I139=""),"",(Profiles!$B$6*(Profiles!$B$10*H139+Profiles!$B$9*IF(J139="",H139,J139)+Profiles!$B$11*IF(K139="",H139,K139))+Profiles!$C$6*I139)/1000000+Profiles!$D$6*IF(L139="",0,L139))</f>
        <v/>
      </c>
      <c r="P139" s="12">
        <f>IF(OR(H139="",I139=""),"",(Profiles!$B$5*(Profiles!$B$10*H139+Profiles!$B$9*H139+Profiles!$B$11*H139)+Profiles!$C$5*I139)/1000000+Profiles!$D$5*IF(L139="",0,L139))</f>
        <v/>
      </c>
      <c r="Q139" t="inlineStr">
        <is>
          <t>2026-07-09</t>
        </is>
      </c>
    </row>
    <row r="140">
      <c r="A140" t="inlineStr">
        <is>
          <t>anthropic/claude-sonnet-5</t>
        </is>
      </c>
      <c r="B140" t="inlineStr">
        <is>
          <t>Anthropic: Claude Sonnet 5</t>
        </is>
      </c>
      <c r="D140" t="inlineStr">
        <is>
          <t>yes</t>
        </is>
      </c>
      <c r="E140" t="inlineStr">
        <is>
          <t>yes</t>
        </is>
      </c>
      <c r="F140" s="10" t="n">
        <v>1000000</v>
      </c>
      <c r="H140" s="11" t="n">
        <v>2</v>
      </c>
      <c r="I140" s="11" t="n">
        <v>10</v>
      </c>
      <c r="J140" s="11" t="n">
        <v>0.2</v>
      </c>
      <c r="K140" s="11" t="n">
        <v>2.5</v>
      </c>
      <c r="L140" s="11" t="n"/>
      <c r="M140" s="12">
        <f>IF(OR(H140="",I140=""),"",(Profiles!$B$4*(Profiles!$B$10*H140+Profiles!$B$9*IF(J140="",H140,J140)+Profiles!$B$11*IF(K140="",H140,K140))+Profiles!$C$4*I140)/1000000+Profiles!$D$4*IF(L140="",0,L140))</f>
        <v/>
      </c>
      <c r="N140" s="12">
        <f>IF(OR(H140="",I140=""),"",(Profiles!$B$5*(Profiles!$B$10*H140+Profiles!$B$9*IF(J140="",H140,J140)+Profiles!$B$11*IF(K140="",H140,K140))+Profiles!$C$5*I140)/1000000+Profiles!$D$5*IF(L140="",0,L140))</f>
        <v/>
      </c>
      <c r="O140" s="12">
        <f>IF(OR(H140="",I140=""),"",(Profiles!$B$6*(Profiles!$B$10*H140+Profiles!$B$9*IF(J140="",H140,J140)+Profiles!$B$11*IF(K140="",H140,K140))+Profiles!$C$6*I140)/1000000+Profiles!$D$6*IF(L140="",0,L140))</f>
        <v/>
      </c>
      <c r="P140" s="12">
        <f>IF(OR(H140="",I140=""),"",(Profiles!$B$5*(Profiles!$B$10*H140+Profiles!$B$9*H140+Profiles!$B$11*H140)+Profiles!$C$5*I140)/1000000+Profiles!$D$5*IF(L140="",0,L140))</f>
        <v/>
      </c>
      <c r="Q140" t="inlineStr">
        <is>
          <t>2026-06-30</t>
        </is>
      </c>
    </row>
    <row r="141">
      <c r="A141" t="inlineStr">
        <is>
          <t>~anthropic/claude-sonnet-latest</t>
        </is>
      </c>
      <c r="B141" t="inlineStr">
        <is>
          <t>Anthropic: Claude Sonnet Latest</t>
        </is>
      </c>
      <c r="D141" t="inlineStr">
        <is>
          <t>yes</t>
        </is>
      </c>
      <c r="E141" t="inlineStr">
        <is>
          <t>yes</t>
        </is>
      </c>
      <c r="F141" s="10" t="n">
        <v>1000000</v>
      </c>
      <c r="G141" t="inlineStr">
        <is>
          <t>alias (latest)</t>
        </is>
      </c>
      <c r="H141" s="11" t="n">
        <v>2</v>
      </c>
      <c r="I141" s="11" t="n">
        <v>10</v>
      </c>
      <c r="J141" s="11" t="n">
        <v>0.2</v>
      </c>
      <c r="K141" s="11" t="n">
        <v>2.5</v>
      </c>
      <c r="L141" s="11" t="n"/>
      <c r="M141" s="12">
        <f>IF(OR(H141="",I141=""),"",(Profiles!$B$4*(Profiles!$B$10*H141+Profiles!$B$9*IF(J141="",H141,J141)+Profiles!$B$11*IF(K141="",H141,K141))+Profiles!$C$4*I141)/1000000+Profiles!$D$4*IF(L141="",0,L141))</f>
        <v/>
      </c>
      <c r="N141" s="12">
        <f>IF(OR(H141="",I141=""),"",(Profiles!$B$5*(Profiles!$B$10*H141+Profiles!$B$9*IF(J141="",H141,J141)+Profiles!$B$11*IF(K141="",H141,K141))+Profiles!$C$5*I141)/1000000+Profiles!$D$5*IF(L141="",0,L141))</f>
        <v/>
      </c>
      <c r="O141" s="12">
        <f>IF(OR(H141="",I141=""),"",(Profiles!$B$6*(Profiles!$B$10*H141+Profiles!$B$9*IF(J141="",H141,J141)+Profiles!$B$11*IF(K141="",H141,K141))+Profiles!$C$6*I141)/1000000+Profiles!$D$6*IF(L141="",0,L141))</f>
        <v/>
      </c>
      <c r="P141" s="12">
        <f>IF(OR(H141="",I141=""),"",(Profiles!$B$5*(Profiles!$B$10*H141+Profiles!$B$9*H141+Profiles!$B$11*H141)+Profiles!$C$5*I141)/1000000+Profiles!$D$5*IF(L141="",0,L141))</f>
        <v/>
      </c>
      <c r="Q141" t="inlineStr">
        <is>
          <t>2026-04-27</t>
        </is>
      </c>
    </row>
    <row r="142">
      <c r="A142" t="inlineStr">
        <is>
          <t>sakana/fugu-max</t>
        </is>
      </c>
      <c r="B142" t="inlineStr">
        <is>
          <t>Sakana: Fugu Max</t>
        </is>
      </c>
      <c r="D142" t="inlineStr">
        <is>
          <t>yes</t>
        </is>
      </c>
      <c r="E142" t="inlineStr">
        <is>
          <t>yes</t>
        </is>
      </c>
      <c r="F142" s="10" t="n">
        <v>1000000</v>
      </c>
      <c r="H142" s="11" t="n">
        <v>2</v>
      </c>
      <c r="I142" s="11" t="n">
        <v>6</v>
      </c>
      <c r="J142" s="11" t="n">
        <v>0.25</v>
      </c>
      <c r="K142" s="11" t="n"/>
      <c r="L142" s="11" t="n"/>
      <c r="M142" s="12">
        <f>IF(OR(H142="",I142=""),"",(Profiles!$B$4*(Profiles!$B$10*H142+Profiles!$B$9*IF(J142="",H142,J142)+Profiles!$B$11*IF(K142="",H142,K142))+Profiles!$C$4*I142)/1000000+Profiles!$D$4*IF(L142="",0,L142))</f>
        <v/>
      </c>
      <c r="N142" s="12">
        <f>IF(OR(H142="",I142=""),"",(Profiles!$B$5*(Profiles!$B$10*H142+Profiles!$B$9*IF(J142="",H142,J142)+Profiles!$B$11*IF(K142="",H142,K142))+Profiles!$C$5*I142)/1000000+Profiles!$D$5*IF(L142="",0,L142))</f>
        <v/>
      </c>
      <c r="O142" s="12">
        <f>IF(OR(H142="",I142=""),"",(Profiles!$B$6*(Profiles!$B$10*H142+Profiles!$B$9*IF(J142="",H142,J142)+Profiles!$B$11*IF(K142="",H142,K142))+Profiles!$C$6*I142)/1000000+Profiles!$D$6*IF(L142="",0,L142))</f>
        <v/>
      </c>
      <c r="P142" s="12">
        <f>IF(OR(H142="",I142=""),"",(Profiles!$B$5*(Profiles!$B$10*H142+Profiles!$B$9*H142+Profiles!$B$11*H142)+Profiles!$C$5*I142)/1000000+Profiles!$D$5*IF(L142="",0,L142))</f>
        <v/>
      </c>
      <c r="Q142" t="inlineStr">
        <is>
          <t>2026-09-11</t>
        </is>
      </c>
    </row>
    <row r="143">
      <c r="A143" t="inlineStr">
        <is>
          <t>~openai/gpt-terra-latest</t>
        </is>
      </c>
      <c r="B143" t="inlineStr">
        <is>
          <t>OpenAI: GPT Terra Latest</t>
        </is>
      </c>
      <c r="D143" t="inlineStr">
        <is>
          <t>yes</t>
        </is>
      </c>
      <c r="E143" t="inlineStr">
        <is>
          <t>yes</t>
        </is>
      </c>
      <c r="F143" s="10" t="n">
        <v>1050000</v>
      </c>
      <c r="G143" t="inlineStr">
        <is>
          <t>alias (latest)</t>
        </is>
      </c>
      <c r="H143" s="11" t="n">
        <v>2</v>
      </c>
      <c r="I143" s="11" t="n">
        <v>12</v>
      </c>
      <c r="J143" s="11" t="n">
        <v>0.2</v>
      </c>
      <c r="K143" s="11" t="n">
        <v>2.5</v>
      </c>
      <c r="L143" s="11" t="n"/>
      <c r="M143" s="12">
        <f>IF(OR(H143="",I143=""),"",(Profiles!$B$4*(Profiles!$B$10*H143+Profiles!$B$9*IF(J143="",H143,J143)+Profiles!$B$11*IF(K143="",H143,K143))+Profiles!$C$4*I143)/1000000+Profiles!$D$4*IF(L143="",0,L143))</f>
        <v/>
      </c>
      <c r="N143" s="12">
        <f>IF(OR(H143="",I143=""),"",(Profiles!$B$5*(Profiles!$B$10*H143+Profiles!$B$9*IF(J143="",H143,J143)+Profiles!$B$11*IF(K143="",H143,K143))+Profiles!$C$5*I143)/1000000+Profiles!$D$5*IF(L143="",0,L143))</f>
        <v/>
      </c>
      <c r="O143" s="12">
        <f>IF(OR(H143="",I143=""),"",(Profiles!$B$6*(Profiles!$B$10*H143+Profiles!$B$9*IF(J143="",H143,J143)+Profiles!$B$11*IF(K143="",H143,K143))+Profiles!$C$6*I143)/1000000+Profiles!$D$6*IF(L143="",0,L143))</f>
        <v/>
      </c>
      <c r="P143" s="12">
        <f>IF(OR(H143="",I143=""),"",(Profiles!$B$5*(Profiles!$B$10*H143+Profiles!$B$9*H143+Profiles!$B$11*H143)+Profiles!$C$5*I143)/1000000+Profiles!$D$5*IF(L143="",0,L143))</f>
        <v/>
      </c>
      <c r="Q143" t="inlineStr">
        <is>
          <t>2026-09-11</t>
        </is>
      </c>
    </row>
    <row r="144">
      <c r="A144" t="inlineStr">
        <is>
          <t>openai/gpt-5.6-terra-pro</t>
        </is>
      </c>
      <c r="B144" t="inlineStr">
        <is>
          <t>OpenAI: GPT-5.6 Terra Pro</t>
        </is>
      </c>
      <c r="D144" t="inlineStr">
        <is>
          <t>yes</t>
        </is>
      </c>
      <c r="E144" t="inlineStr">
        <is>
          <t>yes</t>
        </is>
      </c>
      <c r="F144" s="10" t="n">
        <v>1050000</v>
      </c>
      <c r="H144" s="11" t="n">
        <v>2</v>
      </c>
      <c r="I144" s="11" t="n">
        <v>12</v>
      </c>
      <c r="J144" s="11" t="n">
        <v>0.2</v>
      </c>
      <c r="K144" s="11" t="n">
        <v>2.5</v>
      </c>
      <c r="L144" s="11" t="n"/>
      <c r="M144" s="12">
        <f>IF(OR(H144="",I144=""),"",(Profiles!$B$4*(Profiles!$B$10*H144+Profiles!$B$9*IF(J144="",H144,J144)+Profiles!$B$11*IF(K144="",H144,K144))+Profiles!$C$4*I144)/1000000+Profiles!$D$4*IF(L144="",0,L144))</f>
        <v/>
      </c>
      <c r="N144" s="12">
        <f>IF(OR(H144="",I144=""),"",(Profiles!$B$5*(Profiles!$B$10*H144+Profiles!$B$9*IF(J144="",H144,J144)+Profiles!$B$11*IF(K144="",H144,K144))+Profiles!$C$5*I144)/1000000+Profiles!$D$5*IF(L144="",0,L144))</f>
        <v/>
      </c>
      <c r="O144" s="12">
        <f>IF(OR(H144="",I144=""),"",(Profiles!$B$6*(Profiles!$B$10*H144+Profiles!$B$9*IF(J144="",H144,J144)+Profiles!$B$11*IF(K144="",H144,K144))+Profiles!$C$6*I144)/1000000+Profiles!$D$6*IF(L144="",0,L144))</f>
        <v/>
      </c>
      <c r="P144" s="12">
        <f>IF(OR(H144="",I144=""),"",(Profiles!$B$5*(Profiles!$B$10*H144+Profiles!$B$9*H144+Profiles!$B$11*H144)+Profiles!$C$5*I144)/1000000+Profiles!$D$5*IF(L144="",0,L144))</f>
        <v/>
      </c>
      <c r="Q144" t="inlineStr">
        <is>
          <t>2026-07-09</t>
        </is>
      </c>
    </row>
    <row r="145">
      <c r="A145" t="inlineStr">
        <is>
          <t>openai/gpt-5.6-terra</t>
        </is>
      </c>
      <c r="B145" t="inlineStr">
        <is>
          <t>OpenAI: GPT-5.6 Terra</t>
        </is>
      </c>
      <c r="D145" t="inlineStr">
        <is>
          <t>yes</t>
        </is>
      </c>
      <c r="E145" t="inlineStr">
        <is>
          <t>yes</t>
        </is>
      </c>
      <c r="F145" s="10" t="n">
        <v>1050000</v>
      </c>
      <c r="H145" s="11" t="n">
        <v>2</v>
      </c>
      <c r="I145" s="11" t="n">
        <v>12</v>
      </c>
      <c r="J145" s="11" t="n">
        <v>0.2</v>
      </c>
      <c r="K145" s="11" t="n">
        <v>2.5</v>
      </c>
      <c r="L145" s="11" t="n"/>
      <c r="M145" s="12">
        <f>IF(OR(H145="",I145=""),"",(Profiles!$B$4*(Profiles!$B$10*H145+Profiles!$B$9*IF(J145="",H145,J145)+Profiles!$B$11*IF(K145="",H145,K145))+Profiles!$C$4*I145)/1000000+Profiles!$D$4*IF(L145="",0,L145))</f>
        <v/>
      </c>
      <c r="N145" s="12">
        <f>IF(OR(H145="",I145=""),"",(Profiles!$B$5*(Profiles!$B$10*H145+Profiles!$B$9*IF(J145="",H145,J145)+Profiles!$B$11*IF(K145="",H145,K145))+Profiles!$C$5*I145)/1000000+Profiles!$D$5*IF(L145="",0,L145))</f>
        <v/>
      </c>
      <c r="O145" s="12">
        <f>IF(OR(H145="",I145=""),"",(Profiles!$B$6*(Profiles!$B$10*H145+Profiles!$B$9*IF(J145="",H145,J145)+Profiles!$B$11*IF(K145="",H145,K145))+Profiles!$C$6*I145)/1000000+Profiles!$D$6*IF(L145="",0,L145))</f>
        <v/>
      </c>
      <c r="P145" s="12">
        <f>IF(OR(H145="",I145=""),"",(Profiles!$B$5*(Profiles!$B$10*H145+Profiles!$B$9*H145+Profiles!$B$11*H145)+Profiles!$C$5*I145)/1000000+Profiles!$D$5*IF(L145="",0,L145))</f>
        <v/>
      </c>
      <c r="Q145" t="inlineStr">
        <is>
          <t>2026-07-09</t>
        </is>
      </c>
    </row>
    <row r="146">
      <c r="A146" t="inlineStr">
        <is>
          <t>qwen/qwen3.8-max-0902</t>
        </is>
      </c>
      <c r="B146" t="inlineStr">
        <is>
          <t>Qwen: Qwen3.8 Max (0902)</t>
        </is>
      </c>
      <c r="D146" t="inlineStr">
        <is>
          <t>yes</t>
        </is>
      </c>
      <c r="E146" t="inlineStr">
        <is>
          <t>yes</t>
        </is>
      </c>
      <c r="F146" s="10" t="n">
        <v>1000000</v>
      </c>
      <c r="H146" s="11" t="n">
        <v>2</v>
      </c>
      <c r="I146" s="11" t="n">
        <v>6</v>
      </c>
      <c r="J146" s="11" t="n">
        <v>0.25</v>
      </c>
      <c r="K146" s="11" t="n">
        <v>2.5</v>
      </c>
      <c r="L146" s="11" t="n"/>
      <c r="M146" s="12">
        <f>IF(OR(H146="",I146=""),"",(Profiles!$B$4*(Profiles!$B$10*H146+Profiles!$B$9*IF(J146="",H146,J146)+Profiles!$B$11*IF(K146="",H146,K146))+Profiles!$C$4*I146)/1000000+Profiles!$D$4*IF(L146="",0,L146))</f>
        <v/>
      </c>
      <c r="N146" s="12">
        <f>IF(OR(H146="",I146=""),"",(Profiles!$B$5*(Profiles!$B$10*H146+Profiles!$B$9*IF(J146="",H146,J146)+Profiles!$B$11*IF(K146="",H146,K146))+Profiles!$C$5*I146)/1000000+Profiles!$D$5*IF(L146="",0,L146))</f>
        <v/>
      </c>
      <c r="O146" s="12">
        <f>IF(OR(H146="",I146=""),"",(Profiles!$B$6*(Profiles!$B$10*H146+Profiles!$B$9*IF(J146="",H146,J146)+Profiles!$B$11*IF(K146="",H146,K146))+Profiles!$C$6*I146)/1000000+Profiles!$D$6*IF(L146="",0,L146))</f>
        <v/>
      </c>
      <c r="P146" s="12">
        <f>IF(OR(H146="",I146=""),"",(Profiles!$B$5*(Profiles!$B$10*H146+Profiles!$B$9*H146+Profiles!$B$11*H146)+Profiles!$C$5*I146)/1000000+Profiles!$D$5*IF(L146="",0,L146))</f>
        <v/>
      </c>
      <c r="Q146" t="inlineStr">
        <is>
          <t>2026-09-03</t>
        </is>
      </c>
    </row>
    <row r="147">
      <c r="A147" t="inlineStr">
        <is>
          <t>bytedance-seed/seed-2-1-turbo</t>
        </is>
      </c>
      <c r="B147" t="inlineStr">
        <is>
          <t>ByteDance Seed: Seed 2.1 Turbo</t>
        </is>
      </c>
      <c r="D147" t="inlineStr">
        <is>
          <t>yes</t>
        </is>
      </c>
      <c r="E147" t="inlineStr">
        <is>
          <t>yes</t>
        </is>
      </c>
      <c r="F147" s="10" t="n">
        <v>262144</v>
      </c>
      <c r="H147" s="11" t="n">
        <v>0.5</v>
      </c>
      <c r="I147" s="11" t="n">
        <v>2.5</v>
      </c>
      <c r="J147" s="11" t="n"/>
      <c r="K147" s="11" t="n"/>
      <c r="L147" s="11" t="n"/>
      <c r="M147" s="12">
        <f>IF(OR(H147="",I147=""),"",(Profiles!$B$4*(Profiles!$B$10*H147+Profiles!$B$9*IF(J147="",H147,J147)+Profiles!$B$11*IF(K147="",H147,K147))+Profiles!$C$4*I147)/1000000+Profiles!$D$4*IF(L147="",0,L147))</f>
        <v/>
      </c>
      <c r="N147" s="12">
        <f>IF(OR(H147="",I147=""),"",(Profiles!$B$5*(Profiles!$B$10*H147+Profiles!$B$9*IF(J147="",H147,J147)+Profiles!$B$11*IF(K147="",H147,K147))+Profiles!$C$5*I147)/1000000+Profiles!$D$5*IF(L147="",0,L147))</f>
        <v/>
      </c>
      <c r="O147" s="12">
        <f>IF(OR(H147="",I147=""),"",(Profiles!$B$6*(Profiles!$B$10*H147+Profiles!$B$9*IF(J147="",H147,J147)+Profiles!$B$11*IF(K147="",H147,K147))+Profiles!$C$6*I147)/1000000+Profiles!$D$6*IF(L147="",0,L147))</f>
        <v/>
      </c>
      <c r="P147" s="12">
        <f>IF(OR(H147="",I147=""),"",(Profiles!$B$5*(Profiles!$B$10*H147+Profiles!$B$9*H147+Profiles!$B$11*H147)+Profiles!$C$5*I147)/1000000+Profiles!$D$5*IF(L147="",0,L147))</f>
        <v/>
      </c>
      <c r="Q147" t="inlineStr">
        <is>
          <t>2026-08-12</t>
        </is>
      </c>
    </row>
    <row r="148">
      <c r="A148" t="inlineStr">
        <is>
          <t>bytedance-seed/seed-2.0-code</t>
        </is>
      </c>
      <c r="B148" t="inlineStr">
        <is>
          <t>ByteDance Seed: Seed-2.0-Code</t>
        </is>
      </c>
      <c r="D148" t="inlineStr">
        <is>
          <t>yes</t>
        </is>
      </c>
      <c r="E148" t="inlineStr">
        <is>
          <t>yes</t>
        </is>
      </c>
      <c r="F148" s="10" t="n">
        <v>262144</v>
      </c>
      <c r="H148" s="11" t="n">
        <v>0.5</v>
      </c>
      <c r="I148" s="11" t="n">
        <v>3</v>
      </c>
      <c r="J148" s="11" t="n"/>
      <c r="K148" s="11" t="n"/>
      <c r="L148" s="11" t="n"/>
      <c r="M148" s="12">
        <f>IF(OR(H148="",I148=""),"",(Profiles!$B$4*(Profiles!$B$10*H148+Profiles!$B$9*IF(J148="",H148,J148)+Profiles!$B$11*IF(K148="",H148,K148))+Profiles!$C$4*I148)/1000000+Profiles!$D$4*IF(L148="",0,L148))</f>
        <v/>
      </c>
      <c r="N148" s="12">
        <f>IF(OR(H148="",I148=""),"",(Profiles!$B$5*(Profiles!$B$10*H148+Profiles!$B$9*IF(J148="",H148,J148)+Profiles!$B$11*IF(K148="",H148,K148))+Profiles!$C$5*I148)/1000000+Profiles!$D$5*IF(L148="",0,L148))</f>
        <v/>
      </c>
      <c r="O148" s="12">
        <f>IF(OR(H148="",I148=""),"",(Profiles!$B$6*(Profiles!$B$10*H148+Profiles!$B$9*IF(J148="",H148,J148)+Profiles!$B$11*IF(K148="",H148,K148))+Profiles!$C$6*I148)/1000000+Profiles!$D$6*IF(L148="",0,L148))</f>
        <v/>
      </c>
      <c r="P148" s="12">
        <f>IF(OR(H148="",I148=""),"",(Profiles!$B$5*(Profiles!$B$10*H148+Profiles!$B$9*H148+Profiles!$B$11*H148)+Profiles!$C$5*I148)/1000000+Profiles!$D$5*IF(L148="",0,L148))</f>
        <v/>
      </c>
      <c r="Q148" t="inlineStr">
        <is>
          <t>2026-08-12</t>
        </is>
      </c>
      <c r="R148" t="inlineStr">
        <is>
          <t>2026-11-11</t>
        </is>
      </c>
    </row>
    <row r="149">
      <c r="A149" t="inlineStr">
        <is>
          <t>x-ai/grok-4.5</t>
        </is>
      </c>
      <c r="B149" t="inlineStr">
        <is>
          <t>SpaceXAI: Grok 4.5</t>
        </is>
      </c>
      <c r="D149" t="inlineStr">
        <is>
          <t>yes</t>
        </is>
      </c>
      <c r="E149" t="inlineStr">
        <is>
          <t>yes</t>
        </is>
      </c>
      <c r="F149" s="10" t="n">
        <v>500000</v>
      </c>
      <c r="H149" s="11" t="n">
        <v>2</v>
      </c>
      <c r="I149" s="11" t="n">
        <v>6</v>
      </c>
      <c r="J149" s="11" t="n">
        <v>0.3</v>
      </c>
      <c r="K149" s="11" t="n"/>
      <c r="L149" s="11" t="n"/>
      <c r="M149" s="12">
        <f>IF(OR(H149="",I149=""),"",(Profiles!$B$4*(Profiles!$B$10*H149+Profiles!$B$9*IF(J149="",H149,J149)+Profiles!$B$11*IF(K149="",H149,K149))+Profiles!$C$4*I149)/1000000+Profiles!$D$4*IF(L149="",0,L149))</f>
        <v/>
      </c>
      <c r="N149" s="12">
        <f>IF(OR(H149="",I149=""),"",(Profiles!$B$5*(Profiles!$B$10*H149+Profiles!$B$9*IF(J149="",H149,J149)+Profiles!$B$11*IF(K149="",H149,K149))+Profiles!$C$5*I149)/1000000+Profiles!$D$5*IF(L149="",0,L149))</f>
        <v/>
      </c>
      <c r="O149" s="12">
        <f>IF(OR(H149="",I149=""),"",(Profiles!$B$6*(Profiles!$B$10*H149+Profiles!$B$9*IF(J149="",H149,J149)+Profiles!$B$11*IF(K149="",H149,K149))+Profiles!$C$6*I149)/1000000+Profiles!$D$6*IF(L149="",0,L149))</f>
        <v/>
      </c>
      <c r="P149" s="12">
        <f>IF(OR(H149="",I149=""),"",(Profiles!$B$5*(Profiles!$B$10*H149+Profiles!$B$9*H149+Profiles!$B$11*H149)+Profiles!$C$5*I149)/1000000+Profiles!$D$5*IF(L149="",0,L149))</f>
        <v/>
      </c>
      <c r="Q149" t="inlineStr">
        <is>
          <t>2026-07-08</t>
        </is>
      </c>
    </row>
    <row r="150">
      <c r="A150" t="inlineStr">
        <is>
          <t>unbiased/pareto</t>
        </is>
      </c>
      <c r="B150" t="inlineStr">
        <is>
          <t>Pareto</t>
        </is>
      </c>
      <c r="D150" t="inlineStr">
        <is>
          <t>yes</t>
        </is>
      </c>
      <c r="E150" t="inlineStr">
        <is>
          <t>yes</t>
        </is>
      </c>
      <c r="F150" s="10" t="n">
        <v>262144</v>
      </c>
      <c r="H150" s="11" t="n">
        <v>2.5</v>
      </c>
      <c r="I150" s="11" t="n">
        <v>7.5</v>
      </c>
      <c r="J150" s="11" t="n">
        <v>0.25</v>
      </c>
      <c r="K150" s="11" t="n"/>
      <c r="L150" s="11" t="n"/>
      <c r="M150" s="12">
        <f>IF(OR(H150="",I150=""),"",(Profiles!$B$4*(Profiles!$B$10*H150+Profiles!$B$9*IF(J150="",H150,J150)+Profiles!$B$11*IF(K150="",H150,K150))+Profiles!$C$4*I150)/1000000+Profiles!$D$4*IF(L150="",0,L150))</f>
        <v/>
      </c>
      <c r="N150" s="12">
        <f>IF(OR(H150="",I150=""),"",(Profiles!$B$5*(Profiles!$B$10*H150+Profiles!$B$9*IF(J150="",H150,J150)+Profiles!$B$11*IF(K150="",H150,K150))+Profiles!$C$5*I150)/1000000+Profiles!$D$5*IF(L150="",0,L150))</f>
        <v/>
      </c>
      <c r="O150" s="12">
        <f>IF(OR(H150="",I150=""),"",(Profiles!$B$6*(Profiles!$B$10*H150+Profiles!$B$9*IF(J150="",H150,J150)+Profiles!$B$11*IF(K150="",H150,K150))+Profiles!$C$6*I150)/1000000+Profiles!$D$6*IF(L150="",0,L150))</f>
        <v/>
      </c>
      <c r="P150" s="12">
        <f>IF(OR(H150="",I150=""),"",(Profiles!$B$5*(Profiles!$B$10*H150+Profiles!$B$9*H150+Profiles!$B$11*H150)+Profiles!$C$5*I150)/1000000+Profiles!$D$5*IF(L150="",0,L150))</f>
        <v/>
      </c>
      <c r="Q150" t="inlineStr">
        <is>
          <t>2026-09-18</t>
        </is>
      </c>
    </row>
    <row r="151">
      <c r="A151" t="inlineStr">
        <is>
          <t>xiaomi/mimo-v2.6-pro-ultraspeed</t>
        </is>
      </c>
      <c r="B151" t="inlineStr">
        <is>
          <t>Xiaomi: MiMo-V2.6-Pro-UltraSpeed</t>
        </is>
      </c>
      <c r="D151" t="inlineStr">
        <is>
          <t>yes</t>
        </is>
      </c>
      <c r="E151" t="inlineStr">
        <is>
          <t>yes</t>
        </is>
      </c>
      <c r="F151" s="10" t="n">
        <v>1048576</v>
      </c>
      <c r="H151" s="11" t="n">
        <v>4.35</v>
      </c>
      <c r="I151" s="11" t="n">
        <v>8.699999999999999</v>
      </c>
      <c r="J151" s="11" t="n">
        <v>0.036</v>
      </c>
      <c r="K151" s="11" t="n"/>
      <c r="L151" s="11" t="n"/>
      <c r="M151" s="12">
        <f>IF(OR(H151="",I151=""),"",(Profiles!$B$4*(Profiles!$B$10*H151+Profiles!$B$9*IF(J151="",H151,J151)+Profiles!$B$11*IF(K151="",H151,K151))+Profiles!$C$4*I151)/1000000+Profiles!$D$4*IF(L151="",0,L151))</f>
        <v/>
      </c>
      <c r="N151" s="12">
        <f>IF(OR(H151="",I151=""),"",(Profiles!$B$5*(Profiles!$B$10*H151+Profiles!$B$9*IF(J151="",H151,J151)+Profiles!$B$11*IF(K151="",H151,K151))+Profiles!$C$5*I151)/1000000+Profiles!$D$5*IF(L151="",0,L151))</f>
        <v/>
      </c>
      <c r="O151" s="12">
        <f>IF(OR(H151="",I151=""),"",(Profiles!$B$6*(Profiles!$B$10*H151+Profiles!$B$9*IF(J151="",H151,J151)+Profiles!$B$11*IF(K151="",H151,K151))+Profiles!$C$6*I151)/1000000+Profiles!$D$6*IF(L151="",0,L151))</f>
        <v/>
      </c>
      <c r="P151" s="12">
        <f>IF(OR(H151="",I151=""),"",(Profiles!$B$5*(Profiles!$B$10*H151+Profiles!$B$9*H151+Profiles!$B$11*H151)+Profiles!$C$5*I151)/1000000+Profiles!$D$5*IF(L151="",0,L151))</f>
        <v/>
      </c>
      <c r="Q151" t="inlineStr">
        <is>
          <t>2026-09-21</t>
        </is>
      </c>
    </row>
    <row r="152">
      <c r="A152" t="inlineStr">
        <is>
          <t>x-ai/grok-4.7</t>
        </is>
      </c>
      <c r="B152" t="inlineStr">
        <is>
          <t>SpaceXAI: Grok 4.7</t>
        </is>
      </c>
      <c r="D152" t="inlineStr">
        <is>
          <t>yes</t>
        </is>
      </c>
      <c r="E152" t="inlineStr">
        <is>
          <t>yes</t>
        </is>
      </c>
      <c r="F152" s="10" t="n">
        <v>500000</v>
      </c>
      <c r="H152" s="11" t="n">
        <v>1.6</v>
      </c>
      <c r="I152" s="11" t="n">
        <v>4.8</v>
      </c>
      <c r="J152" s="11" t="n">
        <v>0.4</v>
      </c>
      <c r="K152" s="11" t="n"/>
      <c r="L152" s="11" t="n"/>
      <c r="M152" s="12">
        <f>IF(OR(H152="",I152=""),"",(Profiles!$B$4*(Profiles!$B$10*H152+Profiles!$B$9*IF(J152="",H152,J152)+Profiles!$B$11*IF(K152="",H152,K152))+Profiles!$C$4*I152)/1000000+Profiles!$D$4*IF(L152="",0,L152))</f>
        <v/>
      </c>
      <c r="N152" s="12">
        <f>IF(OR(H152="",I152=""),"",(Profiles!$B$5*(Profiles!$B$10*H152+Profiles!$B$9*IF(J152="",H152,J152)+Profiles!$B$11*IF(K152="",H152,K152))+Profiles!$C$5*I152)/1000000+Profiles!$D$5*IF(L152="",0,L152))</f>
        <v/>
      </c>
      <c r="O152" s="12">
        <f>IF(OR(H152="",I152=""),"",(Profiles!$B$6*(Profiles!$B$10*H152+Profiles!$B$9*IF(J152="",H152,J152)+Profiles!$B$11*IF(K152="",H152,K152))+Profiles!$C$6*I152)/1000000+Profiles!$D$6*IF(L152="",0,L152))</f>
        <v/>
      </c>
      <c r="P152" s="12">
        <f>IF(OR(H152="",I152=""),"",(Profiles!$B$5*(Profiles!$B$10*H152+Profiles!$B$9*H152+Profiles!$B$11*H152)+Profiles!$C$5*I152)/1000000+Profiles!$D$5*IF(L152="",0,L152))</f>
        <v/>
      </c>
      <c r="Q152" t="inlineStr">
        <is>
          <t>2026-09-21</t>
        </is>
      </c>
    </row>
    <row r="153">
      <c r="A153" t="inlineStr">
        <is>
          <t>~x-ai/grok-latest</t>
        </is>
      </c>
      <c r="B153" t="inlineStr">
        <is>
          <t>xAI: Grok Latest</t>
        </is>
      </c>
      <c r="D153" t="inlineStr">
        <is>
          <t>yes</t>
        </is>
      </c>
      <c r="E153" t="inlineStr">
        <is>
          <t>yes</t>
        </is>
      </c>
      <c r="F153" s="10" t="n">
        <v>500000</v>
      </c>
      <c r="G153" t="inlineStr">
        <is>
          <t>alias (latest)</t>
        </is>
      </c>
      <c r="H153" s="11" t="n">
        <v>1.6</v>
      </c>
      <c r="I153" s="11" t="n">
        <v>4.8</v>
      </c>
      <c r="J153" s="11" t="n">
        <v>0.4</v>
      </c>
      <c r="K153" s="11" t="n"/>
      <c r="L153" s="11" t="n"/>
      <c r="M153" s="12">
        <f>IF(OR(H153="",I153=""),"",(Profiles!$B$4*(Profiles!$B$10*H153+Profiles!$B$9*IF(J153="",H153,J153)+Profiles!$B$11*IF(K153="",H153,K153))+Profiles!$C$4*I153)/1000000+Profiles!$D$4*IF(L153="",0,L153))</f>
        <v/>
      </c>
      <c r="N153" s="12">
        <f>IF(OR(H153="",I153=""),"",(Profiles!$B$5*(Profiles!$B$10*H153+Profiles!$B$9*IF(J153="",H153,J153)+Profiles!$B$11*IF(K153="",H153,K153))+Profiles!$C$5*I153)/1000000+Profiles!$D$5*IF(L153="",0,L153))</f>
        <v/>
      </c>
      <c r="O153" s="12">
        <f>IF(OR(H153="",I153=""),"",(Profiles!$B$6*(Profiles!$B$10*H153+Profiles!$B$9*IF(J153="",H153,J153)+Profiles!$B$11*IF(K153="",H153,K153))+Profiles!$C$6*I153)/1000000+Profiles!$D$6*IF(L153="",0,L153))</f>
        <v/>
      </c>
      <c r="P153" s="12">
        <f>IF(OR(H153="",I153=""),"",(Profiles!$B$5*(Profiles!$B$10*H153+Profiles!$B$9*H153+Profiles!$B$11*H153)+Profiles!$C$5*I153)/1000000+Profiles!$D$5*IF(L153="",0,L153))</f>
        <v/>
      </c>
      <c r="Q153" t="inlineStr">
        <is>
          <t>2026-07-08</t>
        </is>
      </c>
    </row>
    <row r="154">
      <c r="A154" t="inlineStr">
        <is>
          <t>openai/gpt-5.4</t>
        </is>
      </c>
      <c r="B154" t="inlineStr">
        <is>
          <t>OpenAI: GPT-5.4</t>
        </is>
      </c>
      <c r="D154" t="inlineStr">
        <is>
          <t>yes</t>
        </is>
      </c>
      <c r="E154" t="inlineStr">
        <is>
          <t>yes</t>
        </is>
      </c>
      <c r="F154" s="10" t="n">
        <v>1050000</v>
      </c>
      <c r="H154" s="11" t="n">
        <v>2.5</v>
      </c>
      <c r="I154" s="11" t="n">
        <v>15</v>
      </c>
      <c r="J154" s="11" t="n">
        <v>0.25</v>
      </c>
      <c r="K154" s="11" t="n"/>
      <c r="L154" s="11" t="n"/>
      <c r="M154" s="12">
        <f>IF(OR(H154="",I154=""),"",(Profiles!$B$4*(Profiles!$B$10*H154+Profiles!$B$9*IF(J154="",H154,J154)+Profiles!$B$11*IF(K154="",H154,K154))+Profiles!$C$4*I154)/1000000+Profiles!$D$4*IF(L154="",0,L154))</f>
        <v/>
      </c>
      <c r="N154" s="12">
        <f>IF(OR(H154="",I154=""),"",(Profiles!$B$5*(Profiles!$B$10*H154+Profiles!$B$9*IF(J154="",H154,J154)+Profiles!$B$11*IF(K154="",H154,K154))+Profiles!$C$5*I154)/1000000+Profiles!$D$5*IF(L154="",0,L154))</f>
        <v/>
      </c>
      <c r="O154" s="12">
        <f>IF(OR(H154="",I154=""),"",(Profiles!$B$6*(Profiles!$B$10*H154+Profiles!$B$9*IF(J154="",H154,J154)+Profiles!$B$11*IF(K154="",H154,K154))+Profiles!$C$6*I154)/1000000+Profiles!$D$6*IF(L154="",0,L154))</f>
        <v/>
      </c>
      <c r="P154" s="12">
        <f>IF(OR(H154="",I154=""),"",(Profiles!$B$5*(Profiles!$B$10*H154+Profiles!$B$9*H154+Profiles!$B$11*H154)+Profiles!$C$5*I154)/1000000+Profiles!$D$5*IF(L154="",0,L154))</f>
        <v/>
      </c>
      <c r="Q154" t="inlineStr">
        <is>
          <t>2026-03-05</t>
        </is>
      </c>
    </row>
    <row r="155">
      <c r="A155" t="inlineStr">
        <is>
          <t>fireworks/ember-1</t>
        </is>
      </c>
      <c r="B155" t="inlineStr">
        <is>
          <t>Fireworks: Ember-1</t>
        </is>
      </c>
      <c r="D155" t="inlineStr">
        <is>
          <t>yes</t>
        </is>
      </c>
      <c r="E155" t="inlineStr">
        <is>
          <t>yes</t>
        </is>
      </c>
      <c r="F155" s="10" t="n">
        <v>1048576</v>
      </c>
      <c r="H155" s="11" t="n">
        <v>3</v>
      </c>
      <c r="I155" s="11" t="n">
        <v>15</v>
      </c>
      <c r="J155" s="11" t="n">
        <v>0.3</v>
      </c>
      <c r="K155" s="11" t="n"/>
      <c r="L155" s="11" t="n"/>
      <c r="M155" s="12">
        <f>IF(OR(H155="",I155=""),"",(Profiles!$B$4*(Profiles!$B$10*H155+Profiles!$B$9*IF(J155="",H155,J155)+Profiles!$B$11*IF(K155="",H155,K155))+Profiles!$C$4*I155)/1000000+Profiles!$D$4*IF(L155="",0,L155))</f>
        <v/>
      </c>
      <c r="N155" s="12">
        <f>IF(OR(H155="",I155=""),"",(Profiles!$B$5*(Profiles!$B$10*H155+Profiles!$B$9*IF(J155="",H155,J155)+Profiles!$B$11*IF(K155="",H155,K155))+Profiles!$C$5*I155)/1000000+Profiles!$D$5*IF(L155="",0,L155))</f>
        <v/>
      </c>
      <c r="O155" s="12">
        <f>IF(OR(H155="",I155=""),"",(Profiles!$B$6*(Profiles!$B$10*H155+Profiles!$B$9*IF(J155="",H155,J155)+Profiles!$B$11*IF(K155="",H155,K155))+Profiles!$C$6*I155)/1000000+Profiles!$D$6*IF(L155="",0,L155))</f>
        <v/>
      </c>
      <c r="P155" s="12">
        <f>IF(OR(H155="",I155=""),"",(Profiles!$B$5*(Profiles!$B$10*H155+Profiles!$B$9*H155+Profiles!$B$11*H155)+Profiles!$C$5*I155)/1000000+Profiles!$D$5*IF(L155="",0,L155))</f>
        <v/>
      </c>
      <c r="Q155" t="inlineStr">
        <is>
          <t>2026-09-24</t>
        </is>
      </c>
    </row>
    <row r="156">
      <c r="A156" s="6" t="inlineStr">
        <is>
          <t>moonshotai/kimi-k3</t>
        </is>
      </c>
      <c r="B156" s="6" t="inlineStr">
        <is>
          <t>MoonshotAI: Kimi K3</t>
        </is>
      </c>
      <c r="C156" s="6" t="inlineStr">
        <is>
          <t>r19 (via Go)</t>
        </is>
      </c>
      <c r="D156" s="6" t="inlineStr">
        <is>
          <t>yes</t>
        </is>
      </c>
      <c r="E156" s="6" t="inlineStr">
        <is>
          <t>yes</t>
        </is>
      </c>
      <c r="F156" s="7" t="n">
        <v>1048576</v>
      </c>
      <c r="G156" s="6" t="inlineStr"/>
      <c r="H156" s="8" t="n">
        <v>3</v>
      </c>
      <c r="I156" s="8" t="n">
        <v>15</v>
      </c>
      <c r="J156" s="8" t="n">
        <v>0.3</v>
      </c>
      <c r="K156" s="8" t="n"/>
      <c r="L156" s="8" t="n"/>
      <c r="M156" s="9">
        <f>IF(OR(H156="",I156=""),"",(Profiles!$B$4*(Profiles!$B$10*H156+Profiles!$B$9*IF(J156="",H156,J156)+Profiles!$B$11*IF(K156="",H156,K156))+Profiles!$C$4*I156)/1000000+Profiles!$D$4*IF(L156="",0,L156))</f>
        <v/>
      </c>
      <c r="N156" s="9">
        <f>IF(OR(H156="",I156=""),"",(Profiles!$B$5*(Profiles!$B$10*H156+Profiles!$B$9*IF(J156="",H156,J156)+Profiles!$B$11*IF(K156="",H156,K156))+Profiles!$C$5*I156)/1000000+Profiles!$D$5*IF(L156="",0,L156))</f>
        <v/>
      </c>
      <c r="O156" s="9">
        <f>IF(OR(H156="",I156=""),"",(Profiles!$B$6*(Profiles!$B$10*H156+Profiles!$B$9*IF(J156="",H156,J156)+Profiles!$B$11*IF(K156="",H156,K156))+Profiles!$C$6*I156)/1000000+Profiles!$D$6*IF(L156="",0,L156))</f>
        <v/>
      </c>
      <c r="P156" s="9">
        <f>IF(OR(H156="",I156=""),"",(Profiles!$B$5*(Profiles!$B$10*H156+Profiles!$B$9*H156+Profiles!$B$11*H156)+Profiles!$C$5*I156)/1000000+Profiles!$D$5*IF(L156="",0,L156))</f>
        <v/>
      </c>
      <c r="Q156" s="6" t="inlineStr">
        <is>
          <t>2026-07-16</t>
        </is>
      </c>
      <c r="R156" s="6" t="inlineStr"/>
    </row>
    <row r="157">
      <c r="A157" t="inlineStr">
        <is>
          <t>x-ai/grok-4.6</t>
        </is>
      </c>
      <c r="B157" t="inlineStr">
        <is>
          <t>SpaceXAI: Grok 4.6</t>
        </is>
      </c>
      <c r="D157" t="inlineStr">
        <is>
          <t>yes</t>
        </is>
      </c>
      <c r="E157" t="inlineStr">
        <is>
          <t>yes</t>
        </is>
      </c>
      <c r="F157" s="10" t="n">
        <v>500000</v>
      </c>
      <c r="H157" s="11" t="n">
        <v>2</v>
      </c>
      <c r="I157" s="11" t="n">
        <v>6</v>
      </c>
      <c r="J157" s="11" t="n">
        <v>0.5</v>
      </c>
      <c r="K157" s="11" t="n"/>
      <c r="L157" s="11" t="n"/>
      <c r="M157" s="12">
        <f>IF(OR(H157="",I157=""),"",(Profiles!$B$4*(Profiles!$B$10*H157+Profiles!$B$9*IF(J157="",H157,J157)+Profiles!$B$11*IF(K157="",H157,K157))+Profiles!$C$4*I157)/1000000+Profiles!$D$4*IF(L157="",0,L157))</f>
        <v/>
      </c>
      <c r="N157" s="12">
        <f>IF(OR(H157="",I157=""),"",(Profiles!$B$5*(Profiles!$B$10*H157+Profiles!$B$9*IF(J157="",H157,J157)+Profiles!$B$11*IF(K157="",H157,K157))+Profiles!$C$5*I157)/1000000+Profiles!$D$5*IF(L157="",0,L157))</f>
        <v/>
      </c>
      <c r="O157" s="12">
        <f>IF(OR(H157="",I157=""),"",(Profiles!$B$6*(Profiles!$B$10*H157+Profiles!$B$9*IF(J157="",H157,J157)+Profiles!$B$11*IF(K157="",H157,K157))+Profiles!$C$6*I157)/1000000+Profiles!$D$6*IF(L157="",0,L157))</f>
        <v/>
      </c>
      <c r="P157" s="12">
        <f>IF(OR(H157="",I157=""),"",(Profiles!$B$5*(Profiles!$B$10*H157+Profiles!$B$9*H157+Profiles!$B$11*H157)+Profiles!$C$5*I157)/1000000+Profiles!$D$5*IF(L157="",0,L157))</f>
        <v/>
      </c>
      <c r="Q157" t="inlineStr">
        <is>
          <t>2026-08-12</t>
        </is>
      </c>
    </row>
    <row r="158">
      <c r="A158" t="inlineStr">
        <is>
          <t>anthropic/claude-sonnet-4.6</t>
        </is>
      </c>
      <c r="B158" t="inlineStr">
        <is>
          <t>Anthropic: Claude Sonnet 4.6</t>
        </is>
      </c>
      <c r="D158" t="inlineStr">
        <is>
          <t>yes</t>
        </is>
      </c>
      <c r="E158" t="inlineStr">
        <is>
          <t>yes</t>
        </is>
      </c>
      <c r="F158" s="10" t="n">
        <v>1000000</v>
      </c>
      <c r="H158" s="11" t="n">
        <v>3</v>
      </c>
      <c r="I158" s="11" t="n">
        <v>15</v>
      </c>
      <c r="J158" s="11" t="n">
        <v>0.3</v>
      </c>
      <c r="K158" s="11" t="n">
        <v>3.75</v>
      </c>
      <c r="L158" s="11" t="n"/>
      <c r="M158" s="12">
        <f>IF(OR(H158="",I158=""),"",(Profiles!$B$4*(Profiles!$B$10*H158+Profiles!$B$9*IF(J158="",H158,J158)+Profiles!$B$11*IF(K158="",H158,K158))+Profiles!$C$4*I158)/1000000+Profiles!$D$4*IF(L158="",0,L158))</f>
        <v/>
      </c>
      <c r="N158" s="12">
        <f>IF(OR(H158="",I158=""),"",(Profiles!$B$5*(Profiles!$B$10*H158+Profiles!$B$9*IF(J158="",H158,J158)+Profiles!$B$11*IF(K158="",H158,K158))+Profiles!$C$5*I158)/1000000+Profiles!$D$5*IF(L158="",0,L158))</f>
        <v/>
      </c>
      <c r="O158" s="12">
        <f>IF(OR(H158="",I158=""),"",(Profiles!$B$6*(Profiles!$B$10*H158+Profiles!$B$9*IF(J158="",H158,J158)+Profiles!$B$11*IF(K158="",H158,K158))+Profiles!$C$6*I158)/1000000+Profiles!$D$6*IF(L158="",0,L158))</f>
        <v/>
      </c>
      <c r="P158" s="12">
        <f>IF(OR(H158="",I158=""),"",(Profiles!$B$5*(Profiles!$B$10*H158+Profiles!$B$9*H158+Profiles!$B$11*H158)+Profiles!$C$5*I158)/1000000+Profiles!$D$5*IF(L158="",0,L158))</f>
        <v/>
      </c>
      <c r="Q158" t="inlineStr">
        <is>
          <t>2026-02-17</t>
        </is>
      </c>
    </row>
    <row r="159">
      <c r="A159" t="inlineStr">
        <is>
          <t>anthropic/claude-sonnet-4.5</t>
        </is>
      </c>
      <c r="B159" t="inlineStr">
        <is>
          <t>Anthropic: Claude Sonnet 4.5</t>
        </is>
      </c>
      <c r="D159" t="inlineStr">
        <is>
          <t>yes</t>
        </is>
      </c>
      <c r="E159" t="inlineStr">
        <is>
          <t>yes</t>
        </is>
      </c>
      <c r="F159" s="10" t="n">
        <v>1000000</v>
      </c>
      <c r="H159" s="11" t="n">
        <v>3</v>
      </c>
      <c r="I159" s="11" t="n">
        <v>15</v>
      </c>
      <c r="J159" s="11" t="n">
        <v>0.3</v>
      </c>
      <c r="K159" s="11" t="n">
        <v>3.75</v>
      </c>
      <c r="L159" s="11" t="n"/>
      <c r="M159" s="12">
        <f>IF(OR(H159="",I159=""),"",(Profiles!$B$4*(Profiles!$B$10*H159+Profiles!$B$9*IF(J159="",H159,J159)+Profiles!$B$11*IF(K159="",H159,K159))+Profiles!$C$4*I159)/1000000+Profiles!$D$4*IF(L159="",0,L159))</f>
        <v/>
      </c>
      <c r="N159" s="12">
        <f>IF(OR(H159="",I159=""),"",(Profiles!$B$5*(Profiles!$B$10*H159+Profiles!$B$9*IF(J159="",H159,J159)+Profiles!$B$11*IF(K159="",H159,K159))+Profiles!$C$5*I159)/1000000+Profiles!$D$5*IF(L159="",0,L159))</f>
        <v/>
      </c>
      <c r="O159" s="12">
        <f>IF(OR(H159="",I159=""),"",(Profiles!$B$6*(Profiles!$B$10*H159+Profiles!$B$9*IF(J159="",H159,J159)+Profiles!$B$11*IF(K159="",H159,K159))+Profiles!$C$6*I159)/1000000+Profiles!$D$6*IF(L159="",0,L159))</f>
        <v/>
      </c>
      <c r="P159" s="12">
        <f>IF(OR(H159="",I159=""),"",(Profiles!$B$5*(Profiles!$B$10*H159+Profiles!$B$9*H159+Profiles!$B$11*H159)+Profiles!$C$5*I159)/1000000+Profiles!$D$5*IF(L159="",0,L159))</f>
        <v/>
      </c>
      <c r="Q159" t="inlineStr">
        <is>
          <t>2025-09-29</t>
        </is>
      </c>
    </row>
    <row r="160">
      <c r="A160" t="inlineStr">
        <is>
          <t>anthropic/claude-sonnet-4</t>
        </is>
      </c>
      <c r="B160" t="inlineStr">
        <is>
          <t>Anthropic: Claude Sonnet 4</t>
        </is>
      </c>
      <c r="D160" t="inlineStr">
        <is>
          <t>yes</t>
        </is>
      </c>
      <c r="E160" t="inlineStr">
        <is>
          <t>yes</t>
        </is>
      </c>
      <c r="F160" s="10" t="n">
        <v>200000</v>
      </c>
      <c r="H160" s="11" t="n">
        <v>3</v>
      </c>
      <c r="I160" s="11" t="n">
        <v>15</v>
      </c>
      <c r="J160" s="11" t="n">
        <v>0.3</v>
      </c>
      <c r="K160" s="11" t="n">
        <v>3.75</v>
      </c>
      <c r="L160" s="11" t="n"/>
      <c r="M160" s="12">
        <f>IF(OR(H160="",I160=""),"",(Profiles!$B$4*(Profiles!$B$10*H160+Profiles!$B$9*IF(J160="",H160,J160)+Profiles!$B$11*IF(K160="",H160,K160))+Profiles!$C$4*I160)/1000000+Profiles!$D$4*IF(L160="",0,L160))</f>
        <v/>
      </c>
      <c r="N160" s="12">
        <f>IF(OR(H160="",I160=""),"",(Profiles!$B$5*(Profiles!$B$10*H160+Profiles!$B$9*IF(J160="",H160,J160)+Profiles!$B$11*IF(K160="",H160,K160))+Profiles!$C$5*I160)/1000000+Profiles!$D$5*IF(L160="",0,L160))</f>
        <v/>
      </c>
      <c r="O160" s="12">
        <f>IF(OR(H160="",I160=""),"",(Profiles!$B$6*(Profiles!$B$10*H160+Profiles!$B$9*IF(J160="",H160,J160)+Profiles!$B$11*IF(K160="",H160,K160))+Profiles!$C$6*I160)/1000000+Profiles!$D$6*IF(L160="",0,L160))</f>
        <v/>
      </c>
      <c r="P160" s="12">
        <f>IF(OR(H160="",I160=""),"",(Profiles!$B$5*(Profiles!$B$10*H160+Profiles!$B$9*H160+Profiles!$B$11*H160)+Profiles!$C$5*I160)/1000000+Profiles!$D$5*IF(L160="",0,L160))</f>
        <v/>
      </c>
      <c r="Q160" t="inlineStr">
        <is>
          <t>2025-05-22</t>
        </is>
      </c>
    </row>
    <row r="161">
      <c r="A161" t="inlineStr">
        <is>
          <t>openai/o3</t>
        </is>
      </c>
      <c r="B161" t="inlineStr">
        <is>
          <t>OpenAI: o3</t>
        </is>
      </c>
      <c r="D161" t="inlineStr">
        <is>
          <t>yes</t>
        </is>
      </c>
      <c r="E161" t="inlineStr">
        <is>
          <t>yes</t>
        </is>
      </c>
      <c r="F161" s="10" t="n">
        <v>200000</v>
      </c>
      <c r="H161" s="11" t="n">
        <v>2</v>
      </c>
      <c r="I161" s="11" t="n">
        <v>8</v>
      </c>
      <c r="J161" s="11" t="n">
        <v>0.5</v>
      </c>
      <c r="K161" s="11" t="n"/>
      <c r="L161" s="11" t="n"/>
      <c r="M161" s="12">
        <f>IF(OR(H161="",I161=""),"",(Profiles!$B$4*(Profiles!$B$10*H161+Profiles!$B$9*IF(J161="",H161,J161)+Profiles!$B$11*IF(K161="",H161,K161))+Profiles!$C$4*I161)/1000000+Profiles!$D$4*IF(L161="",0,L161))</f>
        <v/>
      </c>
      <c r="N161" s="12">
        <f>IF(OR(H161="",I161=""),"",(Profiles!$B$5*(Profiles!$B$10*H161+Profiles!$B$9*IF(J161="",H161,J161)+Profiles!$B$11*IF(K161="",H161,K161))+Profiles!$C$5*I161)/1000000+Profiles!$D$5*IF(L161="",0,L161))</f>
        <v/>
      </c>
      <c r="O161" s="12">
        <f>IF(OR(H161="",I161=""),"",(Profiles!$B$6*(Profiles!$B$10*H161+Profiles!$B$9*IF(J161="",H161,J161)+Profiles!$B$11*IF(K161="",H161,K161))+Profiles!$C$6*I161)/1000000+Profiles!$D$6*IF(L161="",0,L161))</f>
        <v/>
      </c>
      <c r="P161" s="12">
        <f>IF(OR(H161="",I161=""),"",(Profiles!$B$5*(Profiles!$B$10*H161+Profiles!$B$9*H161+Profiles!$B$11*H161)+Profiles!$C$5*I161)/1000000+Profiles!$D$5*IF(L161="",0,L161))</f>
        <v/>
      </c>
      <c r="Q161" t="inlineStr">
        <is>
          <t>2025-04-16</t>
        </is>
      </c>
    </row>
    <row r="162">
      <c r="A162" t="inlineStr">
        <is>
          <t>openai/gpt-4.1</t>
        </is>
      </c>
      <c r="B162" t="inlineStr">
        <is>
          <t>OpenAI: GPT-4.1</t>
        </is>
      </c>
      <c r="D162" t="inlineStr">
        <is>
          <t>yes</t>
        </is>
      </c>
      <c r="E162" t="inlineStr">
        <is>
          <t>yes</t>
        </is>
      </c>
      <c r="F162" s="10" t="n">
        <v>1047576</v>
      </c>
      <c r="H162" s="11" t="n">
        <v>2</v>
      </c>
      <c r="I162" s="11" t="n">
        <v>8</v>
      </c>
      <c r="J162" s="11" t="n">
        <v>0.5</v>
      </c>
      <c r="K162" s="11" t="n"/>
      <c r="L162" s="11" t="n"/>
      <c r="M162" s="12">
        <f>IF(OR(H162="",I162=""),"",(Profiles!$B$4*(Profiles!$B$10*H162+Profiles!$B$9*IF(J162="",H162,J162)+Profiles!$B$11*IF(K162="",H162,K162))+Profiles!$C$4*I162)/1000000+Profiles!$D$4*IF(L162="",0,L162))</f>
        <v/>
      </c>
      <c r="N162" s="12">
        <f>IF(OR(H162="",I162=""),"",(Profiles!$B$5*(Profiles!$B$10*H162+Profiles!$B$9*IF(J162="",H162,J162)+Profiles!$B$11*IF(K162="",H162,K162))+Profiles!$C$5*I162)/1000000+Profiles!$D$5*IF(L162="",0,L162))</f>
        <v/>
      </c>
      <c r="O162" s="12">
        <f>IF(OR(H162="",I162=""),"",(Profiles!$B$6*(Profiles!$B$10*H162+Profiles!$B$9*IF(J162="",H162,J162)+Profiles!$B$11*IF(K162="",H162,K162))+Profiles!$C$6*I162)/1000000+Profiles!$D$6*IF(L162="",0,L162))</f>
        <v/>
      </c>
      <c r="P162" s="12">
        <f>IF(OR(H162="",I162=""),"",(Profiles!$B$5*(Profiles!$B$10*H162+Profiles!$B$9*H162+Profiles!$B$11*H162)+Profiles!$C$5*I162)/1000000+Profiles!$D$5*IF(L162="",0,L162))</f>
        <v/>
      </c>
      <c r="Q162" t="inlineStr">
        <is>
          <t>2025-04-14</t>
        </is>
      </c>
    </row>
    <row r="163">
      <c r="A163" s="6" t="inlineStr">
        <is>
          <t>anthropic/claude-opus-5.5</t>
        </is>
      </c>
      <c r="B163" s="6" t="inlineStr">
        <is>
          <t>Anthropic: Claude Opus 5.5</t>
        </is>
      </c>
      <c r="C163" s="6" t="inlineStr">
        <is>
          <t>r10-r17 (Opus 5.5)</t>
        </is>
      </c>
      <c r="D163" s="6" t="inlineStr">
        <is>
          <t>yes</t>
        </is>
      </c>
      <c r="E163" s="6" t="inlineStr">
        <is>
          <t>yes</t>
        </is>
      </c>
      <c r="F163" s="7" t="n">
        <v>1000000</v>
      </c>
      <c r="G163" s="6" t="inlineStr"/>
      <c r="H163" s="8" t="n">
        <v>4</v>
      </c>
      <c r="I163" s="8" t="n">
        <v>20</v>
      </c>
      <c r="J163" s="8" t="n">
        <v>0.2</v>
      </c>
      <c r="K163" s="8" t="n">
        <v>5</v>
      </c>
      <c r="L163" s="8" t="n"/>
      <c r="M163" s="9">
        <f>IF(OR(H163="",I163=""),"",(Profiles!$B$4*(Profiles!$B$10*H163+Profiles!$B$9*IF(J163="",H163,J163)+Profiles!$B$11*IF(K163="",H163,K163))+Profiles!$C$4*I163)/1000000+Profiles!$D$4*IF(L163="",0,L163))</f>
        <v/>
      </c>
      <c r="N163" s="9">
        <f>IF(OR(H163="",I163=""),"",(Profiles!$B$5*(Profiles!$B$10*H163+Profiles!$B$9*IF(J163="",H163,J163)+Profiles!$B$11*IF(K163="",H163,K163))+Profiles!$C$5*I163)/1000000+Profiles!$D$5*IF(L163="",0,L163))</f>
        <v/>
      </c>
      <c r="O163" s="9">
        <f>IF(OR(H163="",I163=""),"",(Profiles!$B$6*(Profiles!$B$10*H163+Profiles!$B$9*IF(J163="",H163,J163)+Profiles!$B$11*IF(K163="",H163,K163))+Profiles!$C$6*I163)/1000000+Profiles!$D$6*IF(L163="",0,L163))</f>
        <v/>
      </c>
      <c r="P163" s="9">
        <f>IF(OR(H163="",I163=""),"",(Profiles!$B$5*(Profiles!$B$10*H163+Profiles!$B$9*H163+Profiles!$B$11*H163)+Profiles!$C$5*I163)/1000000+Profiles!$D$5*IF(L163="",0,L163))</f>
        <v/>
      </c>
      <c r="Q163" s="6" t="inlineStr">
        <is>
          <t>2026-09-22</t>
        </is>
      </c>
      <c r="R163" s="6" t="inlineStr"/>
    </row>
    <row r="164">
      <c r="A164" t="inlineStr">
        <is>
          <t>~anthropic/claude-opus-latest</t>
        </is>
      </c>
      <c r="B164" t="inlineStr">
        <is>
          <t>Anthropic: Claude Opus Latest</t>
        </is>
      </c>
      <c r="D164" t="inlineStr">
        <is>
          <t>yes</t>
        </is>
      </c>
      <c r="E164" t="inlineStr">
        <is>
          <t>yes</t>
        </is>
      </c>
      <c r="F164" s="10" t="n">
        <v>1000000</v>
      </c>
      <c r="G164" t="inlineStr">
        <is>
          <t>alias (latest)</t>
        </is>
      </c>
      <c r="H164" s="11" t="n">
        <v>4</v>
      </c>
      <c r="I164" s="11" t="n">
        <v>20</v>
      </c>
      <c r="J164" s="11" t="n">
        <v>0.2</v>
      </c>
      <c r="K164" s="11" t="n">
        <v>5</v>
      </c>
      <c r="L164" s="11" t="n"/>
      <c r="M164" s="12">
        <f>IF(OR(H164="",I164=""),"",(Profiles!$B$4*(Profiles!$B$10*H164+Profiles!$B$9*IF(J164="",H164,J164)+Profiles!$B$11*IF(K164="",H164,K164))+Profiles!$C$4*I164)/1000000+Profiles!$D$4*IF(L164="",0,L164))</f>
        <v/>
      </c>
      <c r="N164" s="12">
        <f>IF(OR(H164="",I164=""),"",(Profiles!$B$5*(Profiles!$B$10*H164+Profiles!$B$9*IF(J164="",H164,J164)+Profiles!$B$11*IF(K164="",H164,K164))+Profiles!$C$5*I164)/1000000+Profiles!$D$5*IF(L164="",0,L164))</f>
        <v/>
      </c>
      <c r="O164" s="12">
        <f>IF(OR(H164="",I164=""),"",(Profiles!$B$6*(Profiles!$B$10*H164+Profiles!$B$9*IF(J164="",H164,J164)+Profiles!$B$11*IF(K164="",H164,K164))+Profiles!$C$6*I164)/1000000+Profiles!$D$6*IF(L164="",0,L164))</f>
        <v/>
      </c>
      <c r="P164" s="12">
        <f>IF(OR(H164="",I164=""),"",(Profiles!$B$5*(Profiles!$B$10*H164+Profiles!$B$9*H164+Profiles!$B$11*H164)+Profiles!$C$5*I164)/1000000+Profiles!$D$5*IF(L164="",0,L164))</f>
        <v/>
      </c>
      <c r="Q164" t="inlineStr">
        <is>
          <t>2026-04-21</t>
        </is>
      </c>
    </row>
    <row r="165">
      <c r="A165" t="inlineStr">
        <is>
          <t>amazon/nova-pro-v1</t>
        </is>
      </c>
      <c r="B165" t="inlineStr">
        <is>
          <t>Amazon: Nova Pro 1.0</t>
        </is>
      </c>
      <c r="D165" t="inlineStr">
        <is>
          <t>yes</t>
        </is>
      </c>
      <c r="E165" t="inlineStr">
        <is>
          <t>yes</t>
        </is>
      </c>
      <c r="F165" s="10" t="n">
        <v>300000</v>
      </c>
      <c r="H165" s="11" t="n">
        <v>0.7999999999999999</v>
      </c>
      <c r="I165" s="11" t="n">
        <v>3.2</v>
      </c>
      <c r="J165" s="11" t="n"/>
      <c r="K165" s="11" t="n"/>
      <c r="L165" s="11" t="n"/>
      <c r="M165" s="12">
        <f>IF(OR(H165="",I165=""),"",(Profiles!$B$4*(Profiles!$B$10*H165+Profiles!$B$9*IF(J165="",H165,J165)+Profiles!$B$11*IF(K165="",H165,K165))+Profiles!$C$4*I165)/1000000+Profiles!$D$4*IF(L165="",0,L165))</f>
        <v/>
      </c>
      <c r="N165" s="12">
        <f>IF(OR(H165="",I165=""),"",(Profiles!$B$5*(Profiles!$B$10*H165+Profiles!$B$9*IF(J165="",H165,J165)+Profiles!$B$11*IF(K165="",H165,K165))+Profiles!$C$5*I165)/1000000+Profiles!$D$5*IF(L165="",0,L165))</f>
        <v/>
      </c>
      <c r="O165" s="12">
        <f>IF(OR(H165="",I165=""),"",(Profiles!$B$6*(Profiles!$B$10*H165+Profiles!$B$9*IF(J165="",H165,J165)+Profiles!$B$11*IF(K165="",H165,K165))+Profiles!$C$6*I165)/1000000+Profiles!$D$6*IF(L165="",0,L165))</f>
        <v/>
      </c>
      <c r="P165" s="12">
        <f>IF(OR(H165="",I165=""),"",(Profiles!$B$5*(Profiles!$B$10*H165+Profiles!$B$9*H165+Profiles!$B$11*H165)+Profiles!$C$5*I165)/1000000+Profiles!$D$5*IF(L165="",0,L165))</f>
        <v/>
      </c>
      <c r="Q165" t="inlineStr">
        <is>
          <t>2024-12-05</t>
        </is>
      </c>
    </row>
    <row r="166">
      <c r="A166" t="inlineStr">
        <is>
          <t>amazon/nova-premier-v1</t>
        </is>
      </c>
      <c r="B166" t="inlineStr">
        <is>
          <t>Amazon: Nova Premier 1.0</t>
        </is>
      </c>
      <c r="D166" t="inlineStr">
        <is>
          <t>yes</t>
        </is>
      </c>
      <c r="E166" t="inlineStr">
        <is>
          <t>yes</t>
        </is>
      </c>
      <c r="F166" s="10" t="n">
        <v>1000000</v>
      </c>
      <c r="H166" s="11" t="n">
        <v>2.5</v>
      </c>
      <c r="I166" s="11" t="n">
        <v>12.5</v>
      </c>
      <c r="J166" s="11" t="n">
        <v>0.625</v>
      </c>
      <c r="K166" s="11" t="n"/>
      <c r="L166" s="11" t="n"/>
      <c r="M166" s="12">
        <f>IF(OR(H166="",I166=""),"",(Profiles!$B$4*(Profiles!$B$10*H166+Profiles!$B$9*IF(J166="",H166,J166)+Profiles!$B$11*IF(K166="",H166,K166))+Profiles!$C$4*I166)/1000000+Profiles!$D$4*IF(L166="",0,L166))</f>
        <v/>
      </c>
      <c r="N166" s="12">
        <f>IF(OR(H166="",I166=""),"",(Profiles!$B$5*(Profiles!$B$10*H166+Profiles!$B$9*IF(J166="",H166,J166)+Profiles!$B$11*IF(K166="",H166,K166))+Profiles!$C$5*I166)/1000000+Profiles!$D$5*IF(L166="",0,L166))</f>
        <v/>
      </c>
      <c r="O166" s="12">
        <f>IF(OR(H166="",I166=""),"",(Profiles!$B$6*(Profiles!$B$10*H166+Profiles!$B$9*IF(J166="",H166,J166)+Profiles!$B$11*IF(K166="",H166,K166))+Profiles!$C$6*I166)/1000000+Profiles!$D$6*IF(L166="",0,L166))</f>
        <v/>
      </c>
      <c r="P166" s="12">
        <f>IF(OR(H166="",I166=""),"",(Profiles!$B$5*(Profiles!$B$10*H166+Profiles!$B$9*H166+Profiles!$B$11*H166)+Profiles!$C$5*I166)/1000000+Profiles!$D$5*IF(L166="",0,L166))</f>
        <v/>
      </c>
      <c r="Q166" t="inlineStr">
        <is>
          <t>2025-10-31</t>
        </is>
      </c>
    </row>
    <row r="167">
      <c r="A167" t="inlineStr">
        <is>
          <t>qwen/qwen3.8-max-prime</t>
        </is>
      </c>
      <c r="B167" t="inlineStr">
        <is>
          <t>Qwen: Qwen3.8 Max Prime</t>
        </is>
      </c>
      <c r="D167" t="inlineStr">
        <is>
          <t>yes</t>
        </is>
      </c>
      <c r="E167" t="inlineStr">
        <is>
          <t>yes</t>
        </is>
      </c>
      <c r="F167" s="10" t="n">
        <v>1000000</v>
      </c>
      <c r="H167" s="11" t="n">
        <v>4</v>
      </c>
      <c r="I167" s="11" t="n">
        <v>12</v>
      </c>
      <c r="J167" s="11" t="n">
        <v>0.5</v>
      </c>
      <c r="K167" s="11" t="n"/>
      <c r="L167" s="11" t="n"/>
      <c r="M167" s="12">
        <f>IF(OR(H167="",I167=""),"",(Profiles!$B$4*(Profiles!$B$10*H167+Profiles!$B$9*IF(J167="",H167,J167)+Profiles!$B$11*IF(K167="",H167,K167))+Profiles!$C$4*I167)/1000000+Profiles!$D$4*IF(L167="",0,L167))</f>
        <v/>
      </c>
      <c r="N167" s="12">
        <f>IF(OR(H167="",I167=""),"",(Profiles!$B$5*(Profiles!$B$10*H167+Profiles!$B$9*IF(J167="",H167,J167)+Profiles!$B$11*IF(K167="",H167,K167))+Profiles!$C$5*I167)/1000000+Profiles!$D$5*IF(L167="",0,L167))</f>
        <v/>
      </c>
      <c r="O167" s="12">
        <f>IF(OR(H167="",I167=""),"",(Profiles!$B$6*(Profiles!$B$10*H167+Profiles!$B$9*IF(J167="",H167,J167)+Profiles!$B$11*IF(K167="",H167,K167))+Profiles!$C$6*I167)/1000000+Profiles!$D$6*IF(L167="",0,L167))</f>
        <v/>
      </c>
      <c r="P167" s="12">
        <f>IF(OR(H167="",I167=""),"",(Profiles!$B$5*(Profiles!$B$10*H167+Profiles!$B$9*H167+Profiles!$B$11*H167)+Profiles!$C$5*I167)/1000000+Profiles!$D$5*IF(L167="",0,L167))</f>
        <v/>
      </c>
      <c r="Q167" t="inlineStr">
        <is>
          <t>2026-09-23</t>
        </is>
      </c>
    </row>
    <row r="168">
      <c r="A168" t="inlineStr">
        <is>
          <t>sakana/fugu-ultra-v2</t>
        </is>
      </c>
      <c r="B168" t="inlineStr">
        <is>
          <t>Sakana: Fugu Ultra v2</t>
        </is>
      </c>
      <c r="D168" t="inlineStr">
        <is>
          <t>yes</t>
        </is>
      </c>
      <c r="E168" t="inlineStr">
        <is>
          <t>yes</t>
        </is>
      </c>
      <c r="F168" s="10" t="n">
        <v>1000000</v>
      </c>
      <c r="H168" s="11" t="n">
        <v>5</v>
      </c>
      <c r="I168" s="11" t="n">
        <v>30</v>
      </c>
      <c r="J168" s="11" t="n">
        <v>0.5</v>
      </c>
      <c r="K168" s="11" t="n"/>
      <c r="L168" s="11" t="n"/>
      <c r="M168" s="12">
        <f>IF(OR(H168="",I168=""),"",(Profiles!$B$4*(Profiles!$B$10*H168+Profiles!$B$9*IF(J168="",H168,J168)+Profiles!$B$11*IF(K168="",H168,K168))+Profiles!$C$4*I168)/1000000+Profiles!$D$4*IF(L168="",0,L168))</f>
        <v/>
      </c>
      <c r="N168" s="12">
        <f>IF(OR(H168="",I168=""),"",(Profiles!$B$5*(Profiles!$B$10*H168+Profiles!$B$9*IF(J168="",H168,J168)+Profiles!$B$11*IF(K168="",H168,K168))+Profiles!$C$5*I168)/1000000+Profiles!$D$5*IF(L168="",0,L168))</f>
        <v/>
      </c>
      <c r="O168" s="12">
        <f>IF(OR(H168="",I168=""),"",(Profiles!$B$6*(Profiles!$B$10*H168+Profiles!$B$9*IF(J168="",H168,J168)+Profiles!$B$11*IF(K168="",H168,K168))+Profiles!$C$6*I168)/1000000+Profiles!$D$6*IF(L168="",0,L168))</f>
        <v/>
      </c>
      <c r="P168" s="12">
        <f>IF(OR(H168="",I168=""),"",(Profiles!$B$5*(Profiles!$B$10*H168+Profiles!$B$9*H168+Profiles!$B$11*H168)+Profiles!$C$5*I168)/1000000+Profiles!$D$5*IF(L168="",0,L168))</f>
        <v/>
      </c>
      <c r="Q168" t="inlineStr">
        <is>
          <t>2026-09-11</t>
        </is>
      </c>
    </row>
    <row r="169">
      <c r="A169" t="inlineStr">
        <is>
          <t>sakana/fugu-ultra</t>
        </is>
      </c>
      <c r="B169" t="inlineStr">
        <is>
          <t>Sakana: Fugu Ultra</t>
        </is>
      </c>
      <c r="D169" t="inlineStr">
        <is>
          <t>yes</t>
        </is>
      </c>
      <c r="E169" t="inlineStr">
        <is>
          <t>yes</t>
        </is>
      </c>
      <c r="F169" s="10" t="n">
        <v>1000000</v>
      </c>
      <c r="H169" s="11" t="n">
        <v>5</v>
      </c>
      <c r="I169" s="11" t="n">
        <v>30</v>
      </c>
      <c r="J169" s="11" t="n">
        <v>0.5</v>
      </c>
      <c r="K169" s="11" t="n"/>
      <c r="L169" s="11" t="n"/>
      <c r="M169" s="12">
        <f>IF(OR(H169="",I169=""),"",(Profiles!$B$4*(Profiles!$B$10*H169+Profiles!$B$9*IF(J169="",H169,J169)+Profiles!$B$11*IF(K169="",H169,K169))+Profiles!$C$4*I169)/1000000+Profiles!$D$4*IF(L169="",0,L169))</f>
        <v/>
      </c>
      <c r="N169" s="12">
        <f>IF(OR(H169="",I169=""),"",(Profiles!$B$5*(Profiles!$B$10*H169+Profiles!$B$9*IF(J169="",H169,J169)+Profiles!$B$11*IF(K169="",H169,K169))+Profiles!$C$5*I169)/1000000+Profiles!$D$5*IF(L169="",0,L169))</f>
        <v/>
      </c>
      <c r="O169" s="12">
        <f>IF(OR(H169="",I169=""),"",(Profiles!$B$6*(Profiles!$B$10*H169+Profiles!$B$9*IF(J169="",H169,J169)+Profiles!$B$11*IF(K169="",H169,K169))+Profiles!$C$6*I169)/1000000+Profiles!$D$6*IF(L169="",0,L169))</f>
        <v/>
      </c>
      <c r="P169" s="12">
        <f>IF(OR(H169="",I169=""),"",(Profiles!$B$5*(Profiles!$B$10*H169+Profiles!$B$9*H169+Profiles!$B$11*H169)+Profiles!$C$5*I169)/1000000+Profiles!$D$5*IF(L169="",0,L169))</f>
        <v/>
      </c>
      <c r="Q169" t="inlineStr">
        <is>
          <t>2026-06-24</t>
        </is>
      </c>
    </row>
    <row r="170">
      <c r="A170" t="inlineStr">
        <is>
          <t>openai/gpt-chat-latest</t>
        </is>
      </c>
      <c r="B170" t="inlineStr">
        <is>
          <t>OpenAI: GPT Chat Latest</t>
        </is>
      </c>
      <c r="D170" t="inlineStr">
        <is>
          <t>yes</t>
        </is>
      </c>
      <c r="E170" t="inlineStr">
        <is>
          <t>yes</t>
        </is>
      </c>
      <c r="F170" s="10" t="n">
        <v>400000</v>
      </c>
      <c r="H170" s="11" t="n">
        <v>5</v>
      </c>
      <c r="I170" s="11" t="n">
        <v>30</v>
      </c>
      <c r="J170" s="11" t="n">
        <v>0.5</v>
      </c>
      <c r="K170" s="11" t="n"/>
      <c r="L170" s="11" t="n"/>
      <c r="M170" s="12">
        <f>IF(OR(H170="",I170=""),"",(Profiles!$B$4*(Profiles!$B$10*H170+Profiles!$B$9*IF(J170="",H170,J170)+Profiles!$B$11*IF(K170="",H170,K170))+Profiles!$C$4*I170)/1000000+Profiles!$D$4*IF(L170="",0,L170))</f>
        <v/>
      </c>
      <c r="N170" s="12">
        <f>IF(OR(H170="",I170=""),"",(Profiles!$B$5*(Profiles!$B$10*H170+Profiles!$B$9*IF(J170="",H170,J170)+Profiles!$B$11*IF(K170="",H170,K170))+Profiles!$C$5*I170)/1000000+Profiles!$D$5*IF(L170="",0,L170))</f>
        <v/>
      </c>
      <c r="O170" s="12">
        <f>IF(OR(H170="",I170=""),"",(Profiles!$B$6*(Profiles!$B$10*H170+Profiles!$B$9*IF(J170="",H170,J170)+Profiles!$B$11*IF(K170="",H170,K170))+Profiles!$C$6*I170)/1000000+Profiles!$D$6*IF(L170="",0,L170))</f>
        <v/>
      </c>
      <c r="P170" s="12">
        <f>IF(OR(H170="",I170=""),"",(Profiles!$B$5*(Profiles!$B$10*H170+Profiles!$B$9*H170+Profiles!$B$11*H170)+Profiles!$C$5*I170)/1000000+Profiles!$D$5*IF(L170="",0,L170))</f>
        <v/>
      </c>
      <c r="Q170" t="inlineStr">
        <is>
          <t>2026-05-05</t>
        </is>
      </c>
    </row>
    <row r="171">
      <c r="A171" t="inlineStr">
        <is>
          <t>openai/gpt-5.5</t>
        </is>
      </c>
      <c r="B171" t="inlineStr">
        <is>
          <t>OpenAI: GPT-5.5</t>
        </is>
      </c>
      <c r="D171" t="inlineStr">
        <is>
          <t>yes</t>
        </is>
      </c>
      <c r="E171" t="inlineStr">
        <is>
          <t>yes</t>
        </is>
      </c>
      <c r="F171" s="10" t="n">
        <v>1050000</v>
      </c>
      <c r="H171" s="11" t="n">
        <v>5</v>
      </c>
      <c r="I171" s="11" t="n">
        <v>30</v>
      </c>
      <c r="J171" s="11" t="n">
        <v>0.5</v>
      </c>
      <c r="K171" s="11" t="n"/>
      <c r="L171" s="11" t="n"/>
      <c r="M171" s="12">
        <f>IF(OR(H171="",I171=""),"",(Profiles!$B$4*(Profiles!$B$10*H171+Profiles!$B$9*IF(J171="",H171,J171)+Profiles!$B$11*IF(K171="",H171,K171))+Profiles!$C$4*I171)/1000000+Profiles!$D$4*IF(L171="",0,L171))</f>
        <v/>
      </c>
      <c r="N171" s="12">
        <f>IF(OR(H171="",I171=""),"",(Profiles!$B$5*(Profiles!$B$10*H171+Profiles!$B$9*IF(J171="",H171,J171)+Profiles!$B$11*IF(K171="",H171,K171))+Profiles!$C$5*I171)/1000000+Profiles!$D$5*IF(L171="",0,L171))</f>
        <v/>
      </c>
      <c r="O171" s="12">
        <f>IF(OR(H171="",I171=""),"",(Profiles!$B$6*(Profiles!$B$10*H171+Profiles!$B$9*IF(J171="",H171,J171)+Profiles!$B$11*IF(K171="",H171,K171))+Profiles!$C$6*I171)/1000000+Profiles!$D$6*IF(L171="",0,L171))</f>
        <v/>
      </c>
      <c r="P171" s="12">
        <f>IF(OR(H171="",I171=""),"",(Profiles!$B$5*(Profiles!$B$10*H171+Profiles!$B$9*H171+Profiles!$B$11*H171)+Profiles!$C$5*I171)/1000000+Profiles!$D$5*IF(L171="",0,L171))</f>
        <v/>
      </c>
      <c r="Q171" t="inlineStr">
        <is>
          <t>2026-04-24</t>
        </is>
      </c>
    </row>
    <row r="172">
      <c r="A172" t="inlineStr">
        <is>
          <t>anthropic/claude-opus-5</t>
        </is>
      </c>
      <c r="B172" t="inlineStr">
        <is>
          <t>Anthropic: Claude Opus 5</t>
        </is>
      </c>
      <c r="D172" t="inlineStr">
        <is>
          <t>yes</t>
        </is>
      </c>
      <c r="E172" t="inlineStr">
        <is>
          <t>yes</t>
        </is>
      </c>
      <c r="F172" s="10" t="n">
        <v>1000000</v>
      </c>
      <c r="H172" s="11" t="n">
        <v>5</v>
      </c>
      <c r="I172" s="11" t="n">
        <v>25</v>
      </c>
      <c r="J172" s="11" t="n">
        <v>0.5</v>
      </c>
      <c r="K172" s="11" t="n">
        <v>6.25</v>
      </c>
      <c r="L172" s="11" t="n"/>
      <c r="M172" s="12">
        <f>IF(OR(H172="",I172=""),"",(Profiles!$B$4*(Profiles!$B$10*H172+Profiles!$B$9*IF(J172="",H172,J172)+Profiles!$B$11*IF(K172="",H172,K172))+Profiles!$C$4*I172)/1000000+Profiles!$D$4*IF(L172="",0,L172))</f>
        <v/>
      </c>
      <c r="N172" s="12">
        <f>IF(OR(H172="",I172=""),"",(Profiles!$B$5*(Profiles!$B$10*H172+Profiles!$B$9*IF(J172="",H172,J172)+Profiles!$B$11*IF(K172="",H172,K172))+Profiles!$C$5*I172)/1000000+Profiles!$D$5*IF(L172="",0,L172))</f>
        <v/>
      </c>
      <c r="O172" s="12">
        <f>IF(OR(H172="",I172=""),"",(Profiles!$B$6*(Profiles!$B$10*H172+Profiles!$B$9*IF(J172="",H172,J172)+Profiles!$B$11*IF(K172="",H172,K172))+Profiles!$C$6*I172)/1000000+Profiles!$D$6*IF(L172="",0,L172))</f>
        <v/>
      </c>
      <c r="P172" s="12">
        <f>IF(OR(H172="",I172=""),"",(Profiles!$B$5*(Profiles!$B$10*H172+Profiles!$B$9*H172+Profiles!$B$11*H172)+Profiles!$C$5*I172)/1000000+Profiles!$D$5*IF(L172="",0,L172))</f>
        <v/>
      </c>
      <c r="Q172" t="inlineStr">
        <is>
          <t>2026-07-24</t>
        </is>
      </c>
    </row>
    <row r="173">
      <c r="A173" t="inlineStr">
        <is>
          <t>anthropic/claude-opus-4.8</t>
        </is>
      </c>
      <c r="B173" t="inlineStr">
        <is>
          <t>Anthropic: Claude Opus 4.8</t>
        </is>
      </c>
      <c r="D173" t="inlineStr">
        <is>
          <t>yes</t>
        </is>
      </c>
      <c r="E173" t="inlineStr">
        <is>
          <t>yes</t>
        </is>
      </c>
      <c r="F173" s="10" t="n">
        <v>1000000</v>
      </c>
      <c r="H173" s="11" t="n">
        <v>5</v>
      </c>
      <c r="I173" s="11" t="n">
        <v>25</v>
      </c>
      <c r="J173" s="11" t="n">
        <v>0.5</v>
      </c>
      <c r="K173" s="11" t="n">
        <v>6.25</v>
      </c>
      <c r="L173" s="11" t="n"/>
      <c r="M173" s="12">
        <f>IF(OR(H173="",I173=""),"",(Profiles!$B$4*(Profiles!$B$10*H173+Profiles!$B$9*IF(J173="",H173,J173)+Profiles!$B$11*IF(K173="",H173,K173))+Profiles!$C$4*I173)/1000000+Profiles!$D$4*IF(L173="",0,L173))</f>
        <v/>
      </c>
      <c r="N173" s="12">
        <f>IF(OR(H173="",I173=""),"",(Profiles!$B$5*(Profiles!$B$10*H173+Profiles!$B$9*IF(J173="",H173,J173)+Profiles!$B$11*IF(K173="",H173,K173))+Profiles!$C$5*I173)/1000000+Profiles!$D$5*IF(L173="",0,L173))</f>
        <v/>
      </c>
      <c r="O173" s="12">
        <f>IF(OR(H173="",I173=""),"",(Profiles!$B$6*(Profiles!$B$10*H173+Profiles!$B$9*IF(J173="",H173,J173)+Profiles!$B$11*IF(K173="",H173,K173))+Profiles!$C$6*I173)/1000000+Profiles!$D$6*IF(L173="",0,L173))</f>
        <v/>
      </c>
      <c r="P173" s="12">
        <f>IF(OR(H173="",I173=""),"",(Profiles!$B$5*(Profiles!$B$10*H173+Profiles!$B$9*H173+Profiles!$B$11*H173)+Profiles!$C$5*I173)/1000000+Profiles!$D$5*IF(L173="",0,L173))</f>
        <v/>
      </c>
      <c r="Q173" t="inlineStr">
        <is>
          <t>2026-05-27</t>
        </is>
      </c>
    </row>
    <row r="174">
      <c r="A174" t="inlineStr">
        <is>
          <t>anthropic/claude-opus-4.7</t>
        </is>
      </c>
      <c r="B174" t="inlineStr">
        <is>
          <t>Anthropic: Claude Opus 4.7</t>
        </is>
      </c>
      <c r="D174" t="inlineStr">
        <is>
          <t>yes</t>
        </is>
      </c>
      <c r="E174" t="inlineStr">
        <is>
          <t>yes</t>
        </is>
      </c>
      <c r="F174" s="10" t="n">
        <v>1000000</v>
      </c>
      <c r="H174" s="11" t="n">
        <v>5</v>
      </c>
      <c r="I174" s="11" t="n">
        <v>25</v>
      </c>
      <c r="J174" s="11" t="n">
        <v>0.5</v>
      </c>
      <c r="K174" s="11" t="n">
        <v>6.25</v>
      </c>
      <c r="L174" s="11" t="n"/>
      <c r="M174" s="12">
        <f>IF(OR(H174="",I174=""),"",(Profiles!$B$4*(Profiles!$B$10*H174+Profiles!$B$9*IF(J174="",H174,J174)+Profiles!$B$11*IF(K174="",H174,K174))+Profiles!$C$4*I174)/1000000+Profiles!$D$4*IF(L174="",0,L174))</f>
        <v/>
      </c>
      <c r="N174" s="12">
        <f>IF(OR(H174="",I174=""),"",(Profiles!$B$5*(Profiles!$B$10*H174+Profiles!$B$9*IF(J174="",H174,J174)+Profiles!$B$11*IF(K174="",H174,K174))+Profiles!$C$5*I174)/1000000+Profiles!$D$5*IF(L174="",0,L174))</f>
        <v/>
      </c>
      <c r="O174" s="12">
        <f>IF(OR(H174="",I174=""),"",(Profiles!$B$6*(Profiles!$B$10*H174+Profiles!$B$9*IF(J174="",H174,J174)+Profiles!$B$11*IF(K174="",H174,K174))+Profiles!$C$6*I174)/1000000+Profiles!$D$6*IF(L174="",0,L174))</f>
        <v/>
      </c>
      <c r="P174" s="12">
        <f>IF(OR(H174="",I174=""),"",(Profiles!$B$5*(Profiles!$B$10*H174+Profiles!$B$9*H174+Profiles!$B$11*H174)+Profiles!$C$5*I174)/1000000+Profiles!$D$5*IF(L174="",0,L174))</f>
        <v/>
      </c>
      <c r="Q174" t="inlineStr">
        <is>
          <t>2026-04-16</t>
        </is>
      </c>
    </row>
    <row r="175">
      <c r="A175" t="inlineStr">
        <is>
          <t>anthropic/claude-opus-4.6</t>
        </is>
      </c>
      <c r="B175" t="inlineStr">
        <is>
          <t>Anthropic: Claude Opus 4.6</t>
        </is>
      </c>
      <c r="D175" t="inlineStr">
        <is>
          <t>yes</t>
        </is>
      </c>
      <c r="E175" t="inlineStr">
        <is>
          <t>yes</t>
        </is>
      </c>
      <c r="F175" s="10" t="n">
        <v>1000000</v>
      </c>
      <c r="H175" s="11" t="n">
        <v>5</v>
      </c>
      <c r="I175" s="11" t="n">
        <v>25</v>
      </c>
      <c r="J175" s="11" t="n">
        <v>0.5</v>
      </c>
      <c r="K175" s="11" t="n">
        <v>6.25</v>
      </c>
      <c r="L175" s="11" t="n"/>
      <c r="M175" s="12">
        <f>IF(OR(H175="",I175=""),"",(Profiles!$B$4*(Profiles!$B$10*H175+Profiles!$B$9*IF(J175="",H175,J175)+Profiles!$B$11*IF(K175="",H175,K175))+Profiles!$C$4*I175)/1000000+Profiles!$D$4*IF(L175="",0,L175))</f>
        <v/>
      </c>
      <c r="N175" s="12">
        <f>IF(OR(H175="",I175=""),"",(Profiles!$B$5*(Profiles!$B$10*H175+Profiles!$B$9*IF(J175="",H175,J175)+Profiles!$B$11*IF(K175="",H175,K175))+Profiles!$C$5*I175)/1000000+Profiles!$D$5*IF(L175="",0,L175))</f>
        <v/>
      </c>
      <c r="O175" s="12">
        <f>IF(OR(H175="",I175=""),"",(Profiles!$B$6*(Profiles!$B$10*H175+Profiles!$B$9*IF(J175="",H175,J175)+Profiles!$B$11*IF(K175="",H175,K175))+Profiles!$C$6*I175)/1000000+Profiles!$D$6*IF(L175="",0,L175))</f>
        <v/>
      </c>
      <c r="P175" s="12">
        <f>IF(OR(H175="",I175=""),"",(Profiles!$B$5*(Profiles!$B$10*H175+Profiles!$B$9*H175+Profiles!$B$11*H175)+Profiles!$C$5*I175)/1000000+Profiles!$D$5*IF(L175="",0,L175))</f>
        <v/>
      </c>
      <c r="Q175" t="inlineStr">
        <is>
          <t>2026-02-04</t>
        </is>
      </c>
    </row>
    <row r="176">
      <c r="A176" t="inlineStr">
        <is>
          <t>anthropic/claude-opus-4.5</t>
        </is>
      </c>
      <c r="B176" t="inlineStr">
        <is>
          <t>Anthropic: Claude Opus 4.5</t>
        </is>
      </c>
      <c r="D176" t="inlineStr">
        <is>
          <t>yes</t>
        </is>
      </c>
      <c r="E176" t="inlineStr">
        <is>
          <t>yes</t>
        </is>
      </c>
      <c r="F176" s="10" t="n">
        <v>200000</v>
      </c>
      <c r="H176" s="11" t="n">
        <v>5</v>
      </c>
      <c r="I176" s="11" t="n">
        <v>25</v>
      </c>
      <c r="J176" s="11" t="n">
        <v>0.5</v>
      </c>
      <c r="K176" s="11" t="n">
        <v>6.25</v>
      </c>
      <c r="L176" s="11" t="n"/>
      <c r="M176" s="12">
        <f>IF(OR(H176="",I176=""),"",(Profiles!$B$4*(Profiles!$B$10*H176+Profiles!$B$9*IF(J176="",H176,J176)+Profiles!$B$11*IF(K176="",H176,K176))+Profiles!$C$4*I176)/1000000+Profiles!$D$4*IF(L176="",0,L176))</f>
        <v/>
      </c>
      <c r="N176" s="12">
        <f>IF(OR(H176="",I176=""),"",(Profiles!$B$5*(Profiles!$B$10*H176+Profiles!$B$9*IF(J176="",H176,J176)+Profiles!$B$11*IF(K176="",H176,K176))+Profiles!$C$5*I176)/1000000+Profiles!$D$5*IF(L176="",0,L176))</f>
        <v/>
      </c>
      <c r="O176" s="12">
        <f>IF(OR(H176="",I176=""),"",(Profiles!$B$6*(Profiles!$B$10*H176+Profiles!$B$9*IF(J176="",H176,J176)+Profiles!$B$11*IF(K176="",H176,K176))+Profiles!$C$6*I176)/1000000+Profiles!$D$6*IF(L176="",0,L176))</f>
        <v/>
      </c>
      <c r="P176" s="12">
        <f>IF(OR(H176="",I176=""),"",(Profiles!$B$5*(Profiles!$B$10*H176+Profiles!$B$9*H176+Profiles!$B$11*H176)+Profiles!$C$5*I176)/1000000+Profiles!$D$5*IF(L176="",0,L176))</f>
        <v/>
      </c>
      <c r="Q176" t="inlineStr">
        <is>
          <t>2025-11-24</t>
        </is>
      </c>
    </row>
    <row r="177">
      <c r="A177" t="inlineStr">
        <is>
          <t>openai/gpt-4o-2024-11-20</t>
        </is>
      </c>
      <c r="B177" t="inlineStr">
        <is>
          <t>OpenAI: GPT-4o (2024-11-20)</t>
        </is>
      </c>
      <c r="D177" t="inlineStr">
        <is>
          <t>yes</t>
        </is>
      </c>
      <c r="E177" t="inlineStr">
        <is>
          <t>yes</t>
        </is>
      </c>
      <c r="F177" s="10" t="n">
        <v>128000</v>
      </c>
      <c r="H177" s="11" t="n">
        <v>2.5</v>
      </c>
      <c r="I177" s="11" t="n">
        <v>10</v>
      </c>
      <c r="J177" s="11" t="n">
        <v>1.25</v>
      </c>
      <c r="K177" s="11" t="n"/>
      <c r="L177" s="11" t="n"/>
      <c r="M177" s="12">
        <f>IF(OR(H177="",I177=""),"",(Profiles!$B$4*(Profiles!$B$10*H177+Profiles!$B$9*IF(J177="",H177,J177)+Profiles!$B$11*IF(K177="",H177,K177))+Profiles!$C$4*I177)/1000000+Profiles!$D$4*IF(L177="",0,L177))</f>
        <v/>
      </c>
      <c r="N177" s="12">
        <f>IF(OR(H177="",I177=""),"",(Profiles!$B$5*(Profiles!$B$10*H177+Profiles!$B$9*IF(J177="",H177,J177)+Profiles!$B$11*IF(K177="",H177,K177))+Profiles!$C$5*I177)/1000000+Profiles!$D$5*IF(L177="",0,L177))</f>
        <v/>
      </c>
      <c r="O177" s="12">
        <f>IF(OR(H177="",I177=""),"",(Profiles!$B$6*(Profiles!$B$10*H177+Profiles!$B$9*IF(J177="",H177,J177)+Profiles!$B$11*IF(K177="",H177,K177))+Profiles!$C$6*I177)/1000000+Profiles!$D$6*IF(L177="",0,L177))</f>
        <v/>
      </c>
      <c r="P177" s="12">
        <f>IF(OR(H177="",I177=""),"",(Profiles!$B$5*(Profiles!$B$10*H177+Profiles!$B$9*H177+Profiles!$B$11*H177)+Profiles!$C$5*I177)/1000000+Profiles!$D$5*IF(L177="",0,L177))</f>
        <v/>
      </c>
      <c r="Q177" t="inlineStr">
        <is>
          <t>2024-11-20</t>
        </is>
      </c>
    </row>
    <row r="178">
      <c r="A178" t="inlineStr">
        <is>
          <t>openai/gpt-4o-2024-08-06</t>
        </is>
      </c>
      <c r="B178" t="inlineStr">
        <is>
          <t>OpenAI: GPT-4o (2024-08-06)</t>
        </is>
      </c>
      <c r="D178" t="inlineStr">
        <is>
          <t>yes</t>
        </is>
      </c>
      <c r="E178" t="inlineStr">
        <is>
          <t>yes</t>
        </is>
      </c>
      <c r="F178" s="10" t="n">
        <v>128000</v>
      </c>
      <c r="H178" s="11" t="n">
        <v>2.5</v>
      </c>
      <c r="I178" s="11" t="n">
        <v>10</v>
      </c>
      <c r="J178" s="11" t="n">
        <v>1.25</v>
      </c>
      <c r="K178" s="11" t="n"/>
      <c r="L178" s="11" t="n"/>
      <c r="M178" s="12">
        <f>IF(OR(H178="",I178=""),"",(Profiles!$B$4*(Profiles!$B$10*H178+Profiles!$B$9*IF(J178="",H178,J178)+Profiles!$B$11*IF(K178="",H178,K178))+Profiles!$C$4*I178)/1000000+Profiles!$D$4*IF(L178="",0,L178))</f>
        <v/>
      </c>
      <c r="N178" s="12">
        <f>IF(OR(H178="",I178=""),"",(Profiles!$B$5*(Profiles!$B$10*H178+Profiles!$B$9*IF(J178="",H178,J178)+Profiles!$B$11*IF(K178="",H178,K178))+Profiles!$C$5*I178)/1000000+Profiles!$D$5*IF(L178="",0,L178))</f>
        <v/>
      </c>
      <c r="O178" s="12">
        <f>IF(OR(H178="",I178=""),"",(Profiles!$B$6*(Profiles!$B$10*H178+Profiles!$B$9*IF(J178="",H178,J178)+Profiles!$B$11*IF(K178="",H178,K178))+Profiles!$C$6*I178)/1000000+Profiles!$D$6*IF(L178="",0,L178))</f>
        <v/>
      </c>
      <c r="P178" s="12">
        <f>IF(OR(H178="",I178=""),"",(Profiles!$B$5*(Profiles!$B$10*H178+Profiles!$B$9*H178+Profiles!$B$11*H178)+Profiles!$C$5*I178)/1000000+Profiles!$D$5*IF(L178="",0,L178))</f>
        <v/>
      </c>
      <c r="Q178" t="inlineStr">
        <is>
          <t>2024-08-06</t>
        </is>
      </c>
    </row>
    <row r="179">
      <c r="A179" t="inlineStr">
        <is>
          <t>openai/gpt-4o</t>
        </is>
      </c>
      <c r="B179" t="inlineStr">
        <is>
          <t>OpenAI: GPT-4o</t>
        </is>
      </c>
      <c r="D179" t="inlineStr">
        <is>
          <t>yes</t>
        </is>
      </c>
      <c r="E179" t="inlineStr">
        <is>
          <t>yes</t>
        </is>
      </c>
      <c r="F179" s="10" t="n">
        <v>128000</v>
      </c>
      <c r="H179" s="11" t="n">
        <v>2.5</v>
      </c>
      <c r="I179" s="11" t="n">
        <v>10</v>
      </c>
      <c r="J179" s="11" t="n">
        <v>1.25</v>
      </c>
      <c r="K179" s="11" t="n"/>
      <c r="L179" s="11" t="n"/>
      <c r="M179" s="12">
        <f>IF(OR(H179="",I179=""),"",(Profiles!$B$4*(Profiles!$B$10*H179+Profiles!$B$9*IF(J179="",H179,J179)+Profiles!$B$11*IF(K179="",H179,K179))+Profiles!$C$4*I179)/1000000+Profiles!$D$4*IF(L179="",0,L179))</f>
        <v/>
      </c>
      <c r="N179" s="12">
        <f>IF(OR(H179="",I179=""),"",(Profiles!$B$5*(Profiles!$B$10*H179+Profiles!$B$9*IF(J179="",H179,J179)+Profiles!$B$11*IF(K179="",H179,K179))+Profiles!$C$5*I179)/1000000+Profiles!$D$5*IF(L179="",0,L179))</f>
        <v/>
      </c>
      <c r="O179" s="12">
        <f>IF(OR(H179="",I179=""),"",(Profiles!$B$6*(Profiles!$B$10*H179+Profiles!$B$9*IF(J179="",H179,J179)+Profiles!$B$11*IF(K179="",H179,K179))+Profiles!$C$6*I179)/1000000+Profiles!$D$6*IF(L179="",0,L179))</f>
        <v/>
      </c>
      <c r="P179" s="12">
        <f>IF(OR(H179="",I179=""),"",(Profiles!$B$5*(Profiles!$B$10*H179+Profiles!$B$9*H179+Profiles!$B$11*H179)+Profiles!$C$5*I179)/1000000+Profiles!$D$5*IF(L179="",0,L179))</f>
        <v/>
      </c>
      <c r="Q179" t="inlineStr">
        <is>
          <t>2024-05-13</t>
        </is>
      </c>
    </row>
    <row r="180">
      <c r="A180" t="inlineStr">
        <is>
          <t>mistralai/mistral-medium-3-5</t>
        </is>
      </c>
      <c r="B180" t="inlineStr">
        <is>
          <t>Mistral: Mistral Medium 3.5</t>
        </is>
      </c>
      <c r="C180" t="inlineStr"/>
      <c r="D180" t="inlineStr">
        <is>
          <t>yes</t>
        </is>
      </c>
      <c r="E180" t="inlineStr">
        <is>
          <t>yes</t>
        </is>
      </c>
      <c r="F180" s="10" t="n">
        <v>262144</v>
      </c>
      <c r="G180" t="inlineStr">
        <is>
          <t>cache read 10% per Mistral (not on OpenRouter)</t>
        </is>
      </c>
      <c r="H180" s="11" t="n">
        <v>1.5</v>
      </c>
      <c r="I180" s="11" t="n">
        <v>7.5</v>
      </c>
      <c r="J180" s="11" t="n">
        <v>0.15</v>
      </c>
      <c r="K180" s="11" t="n"/>
      <c r="L180" s="11" t="n"/>
      <c r="M180" s="12">
        <f>IF(OR(H180="",I180=""),"",(Profiles!$B$4*(Profiles!$B$10*H180+Profiles!$B$9*IF(J180="",H180,J180)+Profiles!$B$11*IF(K180="",H180,K180))+Profiles!$C$4*I180)/1000000+Profiles!$D$4*IF(L180="",0,L180))</f>
        <v/>
      </c>
      <c r="N180" s="12">
        <f>IF(OR(H180="",I180=""),"",(Profiles!$B$5*(Profiles!$B$10*H180+Profiles!$B$9*IF(J180="",H180,J180)+Profiles!$B$11*IF(K180="",H180,K180))+Profiles!$C$5*I180)/1000000+Profiles!$D$5*IF(L180="",0,L180))</f>
        <v/>
      </c>
      <c r="O180" s="12">
        <f>IF(OR(H180="",I180=""),"",(Profiles!$B$6*(Profiles!$B$10*H180+Profiles!$B$9*IF(J180="",H180,J180)+Profiles!$B$11*IF(K180="",H180,K180))+Profiles!$C$6*I180)/1000000+Profiles!$D$6*IF(L180="",0,L180))</f>
        <v/>
      </c>
      <c r="P180" s="12">
        <f>IF(OR(H180="",I180=""),"",(Profiles!$B$5*(Profiles!$B$10*H180+Profiles!$B$9*H180+Profiles!$B$11*H180)+Profiles!$C$5*I180)/1000000+Profiles!$D$5*IF(L180="",0,L180))</f>
        <v/>
      </c>
      <c r="Q180" t="inlineStr">
        <is>
          <t>2026-04-30</t>
        </is>
      </c>
    </row>
    <row r="181">
      <c r="A181" s="6" t="inlineStr">
        <is>
          <t>anthropic/claude-fable-5.1</t>
        </is>
      </c>
      <c r="B181" s="6" t="inlineStr">
        <is>
          <t>Anthropic: Claude Fable 5.1</t>
        </is>
      </c>
      <c r="C181" s="6" t="inlineStr">
        <is>
          <t>r11</t>
        </is>
      </c>
      <c r="D181" s="6" t="inlineStr">
        <is>
          <t>yes</t>
        </is>
      </c>
      <c r="E181" s="6" t="inlineStr">
        <is>
          <t>yes</t>
        </is>
      </c>
      <c r="F181" s="7" t="n">
        <v>1000000</v>
      </c>
      <c r="G181" s="6" t="inlineStr"/>
      <c r="H181" s="8" t="n">
        <v>10</v>
      </c>
      <c r="I181" s="8" t="n">
        <v>50</v>
      </c>
      <c r="J181" s="8" t="n">
        <v>0.25</v>
      </c>
      <c r="K181" s="8" t="n">
        <v>12.5</v>
      </c>
      <c r="L181" s="8" t="n"/>
      <c r="M181" s="9">
        <f>IF(OR(H181="",I181=""),"",(Profiles!$B$4*(Profiles!$B$10*H181+Profiles!$B$9*IF(J181="",H181,J181)+Profiles!$B$11*IF(K181="",H181,K181))+Profiles!$C$4*I181)/1000000+Profiles!$D$4*IF(L181="",0,L181))</f>
        <v/>
      </c>
      <c r="N181" s="9">
        <f>IF(OR(H181="",I181=""),"",(Profiles!$B$5*(Profiles!$B$10*H181+Profiles!$B$9*IF(J181="",H181,J181)+Profiles!$B$11*IF(K181="",H181,K181))+Profiles!$C$5*I181)/1000000+Profiles!$D$5*IF(L181="",0,L181))</f>
        <v/>
      </c>
      <c r="O181" s="9">
        <f>IF(OR(H181="",I181=""),"",(Profiles!$B$6*(Profiles!$B$10*H181+Profiles!$B$9*IF(J181="",H181,J181)+Profiles!$B$11*IF(K181="",H181,K181))+Profiles!$C$6*I181)/1000000+Profiles!$D$6*IF(L181="",0,L181))</f>
        <v/>
      </c>
      <c r="P181" s="9">
        <f>IF(OR(H181="",I181=""),"",(Profiles!$B$5*(Profiles!$B$10*H181+Profiles!$B$9*H181+Profiles!$B$11*H181)+Profiles!$C$5*I181)/1000000+Profiles!$D$5*IF(L181="",0,L181))</f>
        <v/>
      </c>
      <c r="Q181" s="6" t="inlineStr">
        <is>
          <t>2026-09-01</t>
        </is>
      </c>
      <c r="R181" s="6" t="inlineStr"/>
    </row>
    <row r="182">
      <c r="A182" t="inlineStr">
        <is>
          <t>~anthropic/claude-fable-latest</t>
        </is>
      </c>
      <c r="B182" t="inlineStr">
        <is>
          <t>Anthropic: Claude Fable Latest</t>
        </is>
      </c>
      <c r="D182" t="inlineStr">
        <is>
          <t>yes</t>
        </is>
      </c>
      <c r="E182" t="inlineStr">
        <is>
          <t>yes</t>
        </is>
      </c>
      <c r="F182" s="10" t="n">
        <v>1000000</v>
      </c>
      <c r="G182" t="inlineStr">
        <is>
          <t>alias (latest)</t>
        </is>
      </c>
      <c r="H182" s="11" t="n">
        <v>10</v>
      </c>
      <c r="I182" s="11" t="n">
        <v>50</v>
      </c>
      <c r="J182" s="11" t="n">
        <v>0.25</v>
      </c>
      <c r="K182" s="11" t="n">
        <v>12.5</v>
      </c>
      <c r="L182" s="11" t="n"/>
      <c r="M182" s="12">
        <f>IF(OR(H182="",I182=""),"",(Profiles!$B$4*(Profiles!$B$10*H182+Profiles!$B$9*IF(J182="",H182,J182)+Profiles!$B$11*IF(K182="",H182,K182))+Profiles!$C$4*I182)/1000000+Profiles!$D$4*IF(L182="",0,L182))</f>
        <v/>
      </c>
      <c r="N182" s="12">
        <f>IF(OR(H182="",I182=""),"",(Profiles!$B$5*(Profiles!$B$10*H182+Profiles!$B$9*IF(J182="",H182,J182)+Profiles!$B$11*IF(K182="",H182,K182))+Profiles!$C$5*I182)/1000000+Profiles!$D$5*IF(L182="",0,L182))</f>
        <v/>
      </c>
      <c r="O182" s="12">
        <f>IF(OR(H182="",I182=""),"",(Profiles!$B$6*(Profiles!$B$10*H182+Profiles!$B$9*IF(J182="",H182,J182)+Profiles!$B$11*IF(K182="",H182,K182))+Profiles!$C$6*I182)/1000000+Profiles!$D$6*IF(L182="",0,L182))</f>
        <v/>
      </c>
      <c r="P182" s="12">
        <f>IF(OR(H182="",I182=""),"",(Profiles!$B$5*(Profiles!$B$10*H182+Profiles!$B$9*H182+Profiles!$B$11*H182)+Profiles!$C$5*I182)/1000000+Profiles!$D$5*IF(L182="",0,L182))</f>
        <v/>
      </c>
      <c r="Q182" t="inlineStr">
        <is>
          <t>2026-06-09</t>
        </is>
      </c>
    </row>
    <row r="183">
      <c r="A183" t="inlineStr">
        <is>
          <t>~openai/gpt-astra-latest</t>
        </is>
      </c>
      <c r="B183" t="inlineStr">
        <is>
          <t>OpenAI: GPT Astra Latest</t>
        </is>
      </c>
      <c r="D183" t="inlineStr">
        <is>
          <t>yes</t>
        </is>
      </c>
      <c r="E183" t="inlineStr">
        <is>
          <t>yes</t>
        </is>
      </c>
      <c r="F183" s="10" t="n">
        <v>1050000</v>
      </c>
      <c r="G183" t="inlineStr">
        <is>
          <t>alias (latest)</t>
        </is>
      </c>
      <c r="H183" s="11" t="n">
        <v>10</v>
      </c>
      <c r="I183" s="11" t="n">
        <v>50</v>
      </c>
      <c r="J183" s="11" t="n">
        <v>1</v>
      </c>
      <c r="K183" s="11" t="n">
        <v>12.5</v>
      </c>
      <c r="L183" s="11" t="n"/>
      <c r="M183" s="12">
        <f>IF(OR(H183="",I183=""),"",(Profiles!$B$4*(Profiles!$B$10*H183+Profiles!$B$9*IF(J183="",H183,J183)+Profiles!$B$11*IF(K183="",H183,K183))+Profiles!$C$4*I183)/1000000+Profiles!$D$4*IF(L183="",0,L183))</f>
        <v/>
      </c>
      <c r="N183" s="12">
        <f>IF(OR(H183="",I183=""),"",(Profiles!$B$5*(Profiles!$B$10*H183+Profiles!$B$9*IF(J183="",H183,J183)+Profiles!$B$11*IF(K183="",H183,K183))+Profiles!$C$5*I183)/1000000+Profiles!$D$5*IF(L183="",0,L183))</f>
        <v/>
      </c>
      <c r="O183" s="12">
        <f>IF(OR(H183="",I183=""),"",(Profiles!$B$6*(Profiles!$B$10*H183+Profiles!$B$9*IF(J183="",H183,J183)+Profiles!$B$11*IF(K183="",H183,K183))+Profiles!$C$6*I183)/1000000+Profiles!$D$6*IF(L183="",0,L183))</f>
        <v/>
      </c>
      <c r="P183" s="12">
        <f>IF(OR(H183="",I183=""),"",(Profiles!$B$5*(Profiles!$B$10*H183+Profiles!$B$9*H183+Profiles!$B$11*H183)+Profiles!$C$5*I183)/1000000+Profiles!$D$5*IF(L183="",0,L183))</f>
        <v/>
      </c>
      <c r="Q183" t="inlineStr">
        <is>
          <t>2026-09-11</t>
        </is>
      </c>
    </row>
    <row r="184">
      <c r="A184" s="6" t="inlineStr">
        <is>
          <t>openai/gpt-6-astra</t>
        </is>
      </c>
      <c r="B184" s="6" t="inlineStr">
        <is>
          <t>OpenAI: GPT-6 Astra</t>
        </is>
      </c>
      <c r="C184" s="6" t="inlineStr">
        <is>
          <t>r11, audits</t>
        </is>
      </c>
      <c r="D184" s="6" t="inlineStr">
        <is>
          <t>yes</t>
        </is>
      </c>
      <c r="E184" s="6" t="inlineStr">
        <is>
          <t>yes</t>
        </is>
      </c>
      <c r="F184" s="7" t="n">
        <v>1050000</v>
      </c>
      <c r="G184" s="6" t="inlineStr"/>
      <c r="H184" s="8" t="n">
        <v>10</v>
      </c>
      <c r="I184" s="8" t="n">
        <v>50</v>
      </c>
      <c r="J184" s="8" t="n">
        <v>1</v>
      </c>
      <c r="K184" s="8" t="n">
        <v>12.5</v>
      </c>
      <c r="L184" s="8" t="n"/>
      <c r="M184" s="9">
        <f>IF(OR(H184="",I184=""),"",(Profiles!$B$4*(Profiles!$B$10*H184+Profiles!$B$9*IF(J184="",H184,J184)+Profiles!$B$11*IF(K184="",H184,K184))+Profiles!$C$4*I184)/1000000+Profiles!$D$4*IF(L184="",0,L184))</f>
        <v/>
      </c>
      <c r="N184" s="9">
        <f>IF(OR(H184="",I184=""),"",(Profiles!$B$5*(Profiles!$B$10*H184+Profiles!$B$9*IF(J184="",H184,J184)+Profiles!$B$11*IF(K184="",H184,K184))+Profiles!$C$5*I184)/1000000+Profiles!$D$5*IF(L184="",0,L184))</f>
        <v/>
      </c>
      <c r="O184" s="9">
        <f>IF(OR(H184="",I184=""),"",(Profiles!$B$6*(Profiles!$B$10*H184+Profiles!$B$9*IF(J184="",H184,J184)+Profiles!$B$11*IF(K184="",H184,K184))+Profiles!$C$6*I184)/1000000+Profiles!$D$6*IF(L184="",0,L184))</f>
        <v/>
      </c>
      <c r="P184" s="9">
        <f>IF(OR(H184="",I184=""),"",(Profiles!$B$5*(Profiles!$B$10*H184+Profiles!$B$9*H184+Profiles!$B$11*H184)+Profiles!$C$5*I184)/1000000+Profiles!$D$5*IF(L184="",0,L184))</f>
        <v/>
      </c>
      <c r="Q184" s="6" t="inlineStr">
        <is>
          <t>2026-09-04</t>
        </is>
      </c>
      <c r="R184" s="6" t="inlineStr"/>
    </row>
    <row r="185">
      <c r="A185" t="inlineStr">
        <is>
          <t>openai/gpt-6-astra-pro</t>
        </is>
      </c>
      <c r="B185" t="inlineStr">
        <is>
          <t>OpenAI: GPT-6 Astra Pro</t>
        </is>
      </c>
      <c r="D185" t="inlineStr">
        <is>
          <t>yes</t>
        </is>
      </c>
      <c r="E185" t="inlineStr">
        <is>
          <t>yes</t>
        </is>
      </c>
      <c r="F185" s="10" t="n">
        <v>1050000</v>
      </c>
      <c r="H185" s="11" t="n">
        <v>10</v>
      </c>
      <c r="I185" s="11" t="n">
        <v>50</v>
      </c>
      <c r="J185" s="11" t="n">
        <v>1</v>
      </c>
      <c r="K185" s="11" t="n">
        <v>12.5</v>
      </c>
      <c r="L185" s="11" t="n"/>
      <c r="M185" s="12">
        <f>IF(OR(H185="",I185=""),"",(Profiles!$B$4*(Profiles!$B$10*H185+Profiles!$B$9*IF(J185="",H185,J185)+Profiles!$B$11*IF(K185="",H185,K185))+Profiles!$C$4*I185)/1000000+Profiles!$D$4*IF(L185="",0,L185))</f>
        <v/>
      </c>
      <c r="N185" s="12">
        <f>IF(OR(H185="",I185=""),"",(Profiles!$B$5*(Profiles!$B$10*H185+Profiles!$B$9*IF(J185="",H185,J185)+Profiles!$B$11*IF(K185="",H185,K185))+Profiles!$C$5*I185)/1000000+Profiles!$D$5*IF(L185="",0,L185))</f>
        <v/>
      </c>
      <c r="O185" s="12">
        <f>IF(OR(H185="",I185=""),"",(Profiles!$B$6*(Profiles!$B$10*H185+Profiles!$B$9*IF(J185="",H185,J185)+Profiles!$B$11*IF(K185="",H185,K185))+Profiles!$C$6*I185)/1000000+Profiles!$D$6*IF(L185="",0,L185))</f>
        <v/>
      </c>
      <c r="P185" s="12">
        <f>IF(OR(H185="",I185=""),"",(Profiles!$B$5*(Profiles!$B$10*H185+Profiles!$B$9*H185+Profiles!$B$11*H185)+Profiles!$C$5*I185)/1000000+Profiles!$D$5*IF(L185="",0,L185))</f>
        <v/>
      </c>
      <c r="Q185" t="inlineStr">
        <is>
          <t>2026-09-04</t>
        </is>
      </c>
    </row>
    <row r="186">
      <c r="A186" t="inlineStr">
        <is>
          <t>anthropic/claude-fable-5</t>
        </is>
      </c>
      <c r="B186" t="inlineStr">
        <is>
          <t>Anthropic: Claude Fable 5</t>
        </is>
      </c>
      <c r="D186" t="inlineStr">
        <is>
          <t>yes</t>
        </is>
      </c>
      <c r="E186" t="inlineStr">
        <is>
          <t>yes</t>
        </is>
      </c>
      <c r="F186" s="10" t="n">
        <v>1000000</v>
      </c>
      <c r="H186" s="11" t="n">
        <v>10</v>
      </c>
      <c r="I186" s="11" t="n">
        <v>50</v>
      </c>
      <c r="J186" s="11" t="n">
        <v>1</v>
      </c>
      <c r="K186" s="11" t="n">
        <v>12.5</v>
      </c>
      <c r="L186" s="11" t="n"/>
      <c r="M186" s="12">
        <f>IF(OR(H186="",I186=""),"",(Profiles!$B$4*(Profiles!$B$10*H186+Profiles!$B$9*IF(J186="",H186,J186)+Profiles!$B$11*IF(K186="",H186,K186))+Profiles!$C$4*I186)/1000000+Profiles!$D$4*IF(L186="",0,L186))</f>
        <v/>
      </c>
      <c r="N186" s="12">
        <f>IF(OR(H186="",I186=""),"",(Profiles!$B$5*(Profiles!$B$10*H186+Profiles!$B$9*IF(J186="",H186,J186)+Profiles!$B$11*IF(K186="",H186,K186))+Profiles!$C$5*I186)/1000000+Profiles!$D$5*IF(L186="",0,L186))</f>
        <v/>
      </c>
      <c r="O186" s="12">
        <f>IF(OR(H186="",I186=""),"",(Profiles!$B$6*(Profiles!$B$10*H186+Profiles!$B$9*IF(J186="",H186,J186)+Profiles!$B$11*IF(K186="",H186,K186))+Profiles!$C$6*I186)/1000000+Profiles!$D$6*IF(L186="",0,L186))</f>
        <v/>
      </c>
      <c r="P186" s="12">
        <f>IF(OR(H186="",I186=""),"",(Profiles!$B$5*(Profiles!$B$10*H186+Profiles!$B$9*H186+Profiles!$B$11*H186)+Profiles!$C$5*I186)/1000000+Profiles!$D$5*IF(L186="",0,L186))</f>
        <v/>
      </c>
      <c r="Q186" t="inlineStr">
        <is>
          <t>2026-06-09</t>
        </is>
      </c>
    </row>
    <row r="187">
      <c r="A187" t="inlineStr">
        <is>
          <t>anthropic/claude-opus-4.1</t>
        </is>
      </c>
      <c r="B187" t="inlineStr">
        <is>
          <t>Anthropic: Claude Opus 4.1</t>
        </is>
      </c>
      <c r="D187" t="inlineStr">
        <is>
          <t>yes</t>
        </is>
      </c>
      <c r="E187" t="inlineStr">
        <is>
          <t>yes</t>
        </is>
      </c>
      <c r="F187" s="10" t="n">
        <v>200000</v>
      </c>
      <c r="H187" s="11" t="n">
        <v>15</v>
      </c>
      <c r="I187" s="11" t="n">
        <v>75</v>
      </c>
      <c r="J187" s="11" t="n">
        <v>1.5</v>
      </c>
      <c r="K187" s="11" t="n">
        <v>18.75</v>
      </c>
      <c r="L187" s="11" t="n"/>
      <c r="M187" s="12">
        <f>IF(OR(H187="",I187=""),"",(Profiles!$B$4*(Profiles!$B$10*H187+Profiles!$B$9*IF(J187="",H187,J187)+Profiles!$B$11*IF(K187="",H187,K187))+Profiles!$C$4*I187)/1000000+Profiles!$D$4*IF(L187="",0,L187))</f>
        <v/>
      </c>
      <c r="N187" s="12">
        <f>IF(OR(H187="",I187=""),"",(Profiles!$B$5*(Profiles!$B$10*H187+Profiles!$B$9*IF(J187="",H187,J187)+Profiles!$B$11*IF(K187="",H187,K187))+Profiles!$C$5*I187)/1000000+Profiles!$D$5*IF(L187="",0,L187))</f>
        <v/>
      </c>
      <c r="O187" s="12">
        <f>IF(OR(H187="",I187=""),"",(Profiles!$B$6*(Profiles!$B$10*H187+Profiles!$B$9*IF(J187="",H187,J187)+Profiles!$B$11*IF(K187="",H187,K187))+Profiles!$C$6*I187)/1000000+Profiles!$D$6*IF(L187="",0,L187))</f>
        <v/>
      </c>
      <c r="P187" s="12">
        <f>IF(OR(H187="",I187=""),"",(Profiles!$B$5*(Profiles!$B$10*H187+Profiles!$B$9*H187+Profiles!$B$11*H187)+Profiles!$C$5*I187)/1000000+Profiles!$D$5*IF(L187="",0,L187))</f>
        <v/>
      </c>
      <c r="Q187" t="inlineStr">
        <is>
          <t>2025-08-05</t>
        </is>
      </c>
    </row>
    <row r="188">
      <c r="A188" t="inlineStr">
        <is>
          <t>openai/gpt-4o-2024-05-13</t>
        </is>
      </c>
      <c r="B188" t="inlineStr">
        <is>
          <t>OpenAI: GPT-4o (2024-05-13)</t>
        </is>
      </c>
      <c r="D188" t="inlineStr">
        <is>
          <t>yes</t>
        </is>
      </c>
      <c r="E188" t="inlineStr">
        <is>
          <t>yes</t>
        </is>
      </c>
      <c r="F188" s="10" t="n">
        <v>128000</v>
      </c>
      <c r="H188" s="11" t="n">
        <v>5</v>
      </c>
      <c r="I188" s="11" t="n">
        <v>15</v>
      </c>
      <c r="J188" s="11" t="n"/>
      <c r="K188" s="11" t="n"/>
      <c r="L188" s="11" t="n"/>
      <c r="M188" s="12">
        <f>IF(OR(H188="",I188=""),"",(Profiles!$B$4*(Profiles!$B$10*H188+Profiles!$B$9*IF(J188="",H188,J188)+Profiles!$B$11*IF(K188="",H188,K188))+Profiles!$C$4*I188)/1000000+Profiles!$D$4*IF(L188="",0,L188))</f>
        <v/>
      </c>
      <c r="N188" s="12">
        <f>IF(OR(H188="",I188=""),"",(Profiles!$B$5*(Profiles!$B$10*H188+Profiles!$B$9*IF(J188="",H188,J188)+Profiles!$B$11*IF(K188="",H188,K188))+Profiles!$C$5*I188)/1000000+Profiles!$D$5*IF(L188="",0,L188))</f>
        <v/>
      </c>
      <c r="O188" s="12">
        <f>IF(OR(H188="",I188=""),"",(Profiles!$B$6*(Profiles!$B$10*H188+Profiles!$B$9*IF(J188="",H188,J188)+Profiles!$B$11*IF(K188="",H188,K188))+Profiles!$C$6*I188)/1000000+Profiles!$D$6*IF(L188="",0,L188))</f>
        <v/>
      </c>
      <c r="P188" s="12">
        <f>IF(OR(H188="",I188=""),"",(Profiles!$B$5*(Profiles!$B$10*H188+Profiles!$B$9*H188+Profiles!$B$11*H188)+Profiles!$C$5*I188)/1000000+Profiles!$D$5*IF(L188="",0,L188))</f>
        <v/>
      </c>
      <c r="Q188" t="inlineStr">
        <is>
          <t>2024-05-13</t>
        </is>
      </c>
    </row>
    <row r="189">
      <c r="A189" t="inlineStr">
        <is>
          <t>openai/o1</t>
        </is>
      </c>
      <c r="B189" t="inlineStr">
        <is>
          <t>OpenAI: o1</t>
        </is>
      </c>
      <c r="D189" t="inlineStr">
        <is>
          <t>yes</t>
        </is>
      </c>
      <c r="E189" t="inlineStr">
        <is>
          <t>yes</t>
        </is>
      </c>
      <c r="F189" s="10" t="n">
        <v>200000</v>
      </c>
      <c r="H189" s="11" t="n">
        <v>15</v>
      </c>
      <c r="I189" s="11" t="n">
        <v>60</v>
      </c>
      <c r="J189" s="11" t="n">
        <v>7.5</v>
      </c>
      <c r="K189" s="11" t="n"/>
      <c r="L189" s="11" t="n"/>
      <c r="M189" s="12">
        <f>IF(OR(H189="",I189=""),"",(Profiles!$B$4*(Profiles!$B$10*H189+Profiles!$B$9*IF(J189="",H189,J189)+Profiles!$B$11*IF(K189="",H189,K189))+Profiles!$C$4*I189)/1000000+Profiles!$D$4*IF(L189="",0,L189))</f>
        <v/>
      </c>
      <c r="N189" s="12">
        <f>IF(OR(H189="",I189=""),"",(Profiles!$B$5*(Profiles!$B$10*H189+Profiles!$B$9*IF(J189="",H189,J189)+Profiles!$B$11*IF(K189="",H189,K189))+Profiles!$C$5*I189)/1000000+Profiles!$D$5*IF(L189="",0,L189))</f>
        <v/>
      </c>
      <c r="O189" s="12">
        <f>IF(OR(H189="",I189=""),"",(Profiles!$B$6*(Profiles!$B$10*H189+Profiles!$B$9*IF(J189="",H189,J189)+Profiles!$B$11*IF(K189="",H189,K189))+Profiles!$C$6*I189)/1000000+Profiles!$D$6*IF(L189="",0,L189))</f>
        <v/>
      </c>
      <c r="P189" s="12">
        <f>IF(OR(H189="",I189=""),"",(Profiles!$B$5*(Profiles!$B$10*H189+Profiles!$B$9*H189+Profiles!$B$11*H189)+Profiles!$C$5*I189)/1000000+Profiles!$D$5*IF(L189="",0,L189))</f>
        <v/>
      </c>
      <c r="Q189" t="inlineStr">
        <is>
          <t>2024-12-17</t>
        </is>
      </c>
    </row>
    <row r="190">
      <c r="A190" t="inlineStr">
        <is>
          <t>openai/gpt-4-turbo</t>
        </is>
      </c>
      <c r="B190" t="inlineStr">
        <is>
          <t>OpenAI: GPT-4 Turbo</t>
        </is>
      </c>
      <c r="D190" t="inlineStr">
        <is>
          <t>yes</t>
        </is>
      </c>
      <c r="E190" t="inlineStr">
        <is>
          <t>yes</t>
        </is>
      </c>
      <c r="F190" s="10" t="n">
        <v>128000</v>
      </c>
      <c r="H190" s="11" t="n">
        <v>10</v>
      </c>
      <c r="I190" s="11" t="n">
        <v>30</v>
      </c>
      <c r="J190" s="11" t="n"/>
      <c r="K190" s="11" t="n"/>
      <c r="L190" s="11" t="n"/>
      <c r="M190" s="12">
        <f>IF(OR(H190="",I190=""),"",(Profiles!$B$4*(Profiles!$B$10*H190+Profiles!$B$9*IF(J190="",H190,J190)+Profiles!$B$11*IF(K190="",H190,K190))+Profiles!$C$4*I190)/1000000+Profiles!$D$4*IF(L190="",0,L190))</f>
        <v/>
      </c>
      <c r="N190" s="12">
        <f>IF(OR(H190="",I190=""),"",(Profiles!$B$5*(Profiles!$B$10*H190+Profiles!$B$9*IF(J190="",H190,J190)+Profiles!$B$11*IF(K190="",H190,K190))+Profiles!$C$5*I190)/1000000+Profiles!$D$5*IF(L190="",0,L190))</f>
        <v/>
      </c>
      <c r="O190" s="12">
        <f>IF(OR(H190="",I190=""),"",(Profiles!$B$6*(Profiles!$B$10*H190+Profiles!$B$9*IF(J190="",H190,J190)+Profiles!$B$11*IF(K190="",H190,K190))+Profiles!$C$6*I190)/1000000+Profiles!$D$6*IF(L190="",0,L190))</f>
        <v/>
      </c>
      <c r="P190" s="12">
        <f>IF(OR(H190="",I190=""),"",(Profiles!$B$5*(Profiles!$B$10*H190+Profiles!$B$9*H190+Profiles!$B$11*H190)+Profiles!$C$5*I190)/1000000+Profiles!$D$5*IF(L190="",0,L190))</f>
        <v/>
      </c>
      <c r="Q190" t="inlineStr">
        <is>
          <t>2024-04-09</t>
        </is>
      </c>
    </row>
    <row r="191">
      <c r="A191" t="inlineStr">
        <is>
          <t>openai/gpt-5-pro</t>
        </is>
      </c>
      <c r="B191" t="inlineStr">
        <is>
          <t>OpenAI: GPT-5 Pro</t>
        </is>
      </c>
      <c r="D191" t="inlineStr">
        <is>
          <t>yes</t>
        </is>
      </c>
      <c r="E191" t="inlineStr">
        <is>
          <t>yes</t>
        </is>
      </c>
      <c r="F191" s="10" t="n">
        <v>400000</v>
      </c>
      <c r="H191" s="11" t="n">
        <v>15</v>
      </c>
      <c r="I191" s="11" t="n">
        <v>120</v>
      </c>
      <c r="J191" s="11" t="n"/>
      <c r="K191" s="11" t="n"/>
      <c r="L191" s="11" t="n"/>
      <c r="M191" s="12">
        <f>IF(OR(H191="",I191=""),"",(Profiles!$B$4*(Profiles!$B$10*H191+Profiles!$B$9*IF(J191="",H191,J191)+Profiles!$B$11*IF(K191="",H191,K191))+Profiles!$C$4*I191)/1000000+Profiles!$D$4*IF(L191="",0,L191))</f>
        <v/>
      </c>
      <c r="N191" s="12">
        <f>IF(OR(H191="",I191=""),"",(Profiles!$B$5*(Profiles!$B$10*H191+Profiles!$B$9*IF(J191="",H191,J191)+Profiles!$B$11*IF(K191="",H191,K191))+Profiles!$C$5*I191)/1000000+Profiles!$D$5*IF(L191="",0,L191))</f>
        <v/>
      </c>
      <c r="O191" s="12">
        <f>IF(OR(H191="",I191=""),"",(Profiles!$B$6*(Profiles!$B$10*H191+Profiles!$B$9*IF(J191="",H191,J191)+Profiles!$B$11*IF(K191="",H191,K191))+Profiles!$C$6*I191)/1000000+Profiles!$D$6*IF(L191="",0,L191))</f>
        <v/>
      </c>
      <c r="P191" s="12">
        <f>IF(OR(H191="",I191=""),"",(Profiles!$B$5*(Profiles!$B$10*H191+Profiles!$B$9*H191+Profiles!$B$11*H191)+Profiles!$C$5*I191)/1000000+Profiles!$D$5*IF(L191="",0,L191))</f>
        <v/>
      </c>
      <c r="Q191" t="inlineStr">
        <is>
          <t>2025-10-06</t>
        </is>
      </c>
    </row>
    <row r="192">
      <c r="A192" t="inlineStr">
        <is>
          <t>openai/o3-pro</t>
        </is>
      </c>
      <c r="B192" t="inlineStr">
        <is>
          <t>OpenAI: o3 Pro</t>
        </is>
      </c>
      <c r="D192" t="inlineStr">
        <is>
          <t>yes</t>
        </is>
      </c>
      <c r="E192" t="inlineStr">
        <is>
          <t>yes</t>
        </is>
      </c>
      <c r="F192" s="10" t="n">
        <v>200000</v>
      </c>
      <c r="H192" s="11" t="n">
        <v>20</v>
      </c>
      <c r="I192" s="11" t="n">
        <v>80</v>
      </c>
      <c r="J192" s="11" t="n"/>
      <c r="K192" s="11" t="n"/>
      <c r="L192" s="11" t="n"/>
      <c r="M192" s="12">
        <f>IF(OR(H192="",I192=""),"",(Profiles!$B$4*(Profiles!$B$10*H192+Profiles!$B$9*IF(J192="",H192,J192)+Profiles!$B$11*IF(K192="",H192,K192))+Profiles!$C$4*I192)/1000000+Profiles!$D$4*IF(L192="",0,L192))</f>
        <v/>
      </c>
      <c r="N192" s="12">
        <f>IF(OR(H192="",I192=""),"",(Profiles!$B$5*(Profiles!$B$10*H192+Profiles!$B$9*IF(J192="",H192,J192)+Profiles!$B$11*IF(K192="",H192,K192))+Profiles!$C$5*I192)/1000000+Profiles!$D$5*IF(L192="",0,L192))</f>
        <v/>
      </c>
      <c r="O192" s="12">
        <f>IF(OR(H192="",I192=""),"",(Profiles!$B$6*(Profiles!$B$10*H192+Profiles!$B$9*IF(J192="",H192,J192)+Profiles!$B$11*IF(K192="",H192,K192))+Profiles!$C$6*I192)/1000000+Profiles!$D$6*IF(L192="",0,L192))</f>
        <v/>
      </c>
      <c r="P192" s="12">
        <f>IF(OR(H192="",I192=""),"",(Profiles!$B$5*(Profiles!$B$10*H192+Profiles!$B$9*H192+Profiles!$B$11*H192)+Profiles!$C$5*I192)/1000000+Profiles!$D$5*IF(L192="",0,L192))</f>
        <v/>
      </c>
      <c r="Q192" t="inlineStr">
        <is>
          <t>2025-06-11</t>
        </is>
      </c>
    </row>
    <row r="193">
      <c r="A193" t="inlineStr">
        <is>
          <t>openai/gpt-5.2-pro</t>
        </is>
      </c>
      <c r="B193" t="inlineStr">
        <is>
          <t>OpenAI: GPT-5.2 Pro</t>
        </is>
      </c>
      <c r="D193" t="inlineStr">
        <is>
          <t>yes</t>
        </is>
      </c>
      <c r="E193" t="inlineStr">
        <is>
          <t>yes</t>
        </is>
      </c>
      <c r="F193" s="10" t="n">
        <v>400000</v>
      </c>
      <c r="H193" s="11" t="n">
        <v>21</v>
      </c>
      <c r="I193" s="11" t="n">
        <v>168</v>
      </c>
      <c r="J193" s="11" t="n"/>
      <c r="K193" s="11" t="n"/>
      <c r="L193" s="11" t="n"/>
      <c r="M193" s="12">
        <f>IF(OR(H193="",I193=""),"",(Profiles!$B$4*(Profiles!$B$10*H193+Profiles!$B$9*IF(J193="",H193,J193)+Profiles!$B$11*IF(K193="",H193,K193))+Profiles!$C$4*I193)/1000000+Profiles!$D$4*IF(L193="",0,L193))</f>
        <v/>
      </c>
      <c r="N193" s="12">
        <f>IF(OR(H193="",I193=""),"",(Profiles!$B$5*(Profiles!$B$10*H193+Profiles!$B$9*IF(J193="",H193,J193)+Profiles!$B$11*IF(K193="",H193,K193))+Profiles!$C$5*I193)/1000000+Profiles!$D$5*IF(L193="",0,L193))</f>
        <v/>
      </c>
      <c r="O193" s="12">
        <f>IF(OR(H193="",I193=""),"",(Profiles!$B$6*(Profiles!$B$10*H193+Profiles!$B$9*IF(J193="",H193,J193)+Profiles!$B$11*IF(K193="",H193,K193))+Profiles!$C$6*I193)/1000000+Profiles!$D$6*IF(L193="",0,L193))</f>
        <v/>
      </c>
      <c r="P193" s="12">
        <f>IF(OR(H193="",I193=""),"",(Profiles!$B$5*(Profiles!$B$10*H193+Profiles!$B$9*H193+Profiles!$B$11*H193)+Profiles!$C$5*I193)/1000000+Profiles!$D$5*IF(L193="",0,L193))</f>
        <v/>
      </c>
      <c r="Q193" t="inlineStr">
        <is>
          <t>2025-12-10</t>
        </is>
      </c>
    </row>
    <row r="194">
      <c r="A194" t="inlineStr">
        <is>
          <t>openai/gpt-5.5-pro</t>
        </is>
      </c>
      <c r="B194" t="inlineStr">
        <is>
          <t>OpenAI: GPT-5.5 Pro</t>
        </is>
      </c>
      <c r="D194" t="inlineStr">
        <is>
          <t>yes</t>
        </is>
      </c>
      <c r="E194" t="inlineStr">
        <is>
          <t>yes</t>
        </is>
      </c>
      <c r="F194" s="10" t="n">
        <v>1050000</v>
      </c>
      <c r="H194" s="11" t="n">
        <v>30</v>
      </c>
      <c r="I194" s="11" t="n">
        <v>180</v>
      </c>
      <c r="J194" s="11" t="n"/>
      <c r="K194" s="11" t="n"/>
      <c r="L194" s="11" t="n"/>
      <c r="M194" s="12">
        <f>IF(OR(H194="",I194=""),"",(Profiles!$B$4*(Profiles!$B$10*H194+Profiles!$B$9*IF(J194="",H194,J194)+Profiles!$B$11*IF(K194="",H194,K194))+Profiles!$C$4*I194)/1000000+Profiles!$D$4*IF(L194="",0,L194))</f>
        <v/>
      </c>
      <c r="N194" s="12">
        <f>IF(OR(H194="",I194=""),"",(Profiles!$B$5*(Profiles!$B$10*H194+Profiles!$B$9*IF(J194="",H194,J194)+Profiles!$B$11*IF(K194="",H194,K194))+Profiles!$C$5*I194)/1000000+Profiles!$D$5*IF(L194="",0,L194))</f>
        <v/>
      </c>
      <c r="O194" s="12">
        <f>IF(OR(H194="",I194=""),"",(Profiles!$B$6*(Profiles!$B$10*H194+Profiles!$B$9*IF(J194="",H194,J194)+Profiles!$B$11*IF(K194="",H194,K194))+Profiles!$C$6*I194)/1000000+Profiles!$D$6*IF(L194="",0,L194))</f>
        <v/>
      </c>
      <c r="P194" s="12">
        <f>IF(OR(H194="",I194=""),"",(Profiles!$B$5*(Profiles!$B$10*H194+Profiles!$B$9*H194+Profiles!$B$11*H194)+Profiles!$C$5*I194)/1000000+Profiles!$D$5*IF(L194="",0,L194))</f>
        <v/>
      </c>
      <c r="Q194" t="inlineStr">
        <is>
          <t>2026-04-24</t>
        </is>
      </c>
    </row>
    <row r="195">
      <c r="A195" t="inlineStr">
        <is>
          <t>openai/gpt-5.4-pro</t>
        </is>
      </c>
      <c r="B195" t="inlineStr">
        <is>
          <t>OpenAI: GPT-5.4 Pro</t>
        </is>
      </c>
      <c r="D195" t="inlineStr">
        <is>
          <t>yes</t>
        </is>
      </c>
      <c r="E195" t="inlineStr">
        <is>
          <t>yes</t>
        </is>
      </c>
      <c r="F195" s="10" t="n">
        <v>1050000</v>
      </c>
      <c r="H195" s="11" t="n">
        <v>30</v>
      </c>
      <c r="I195" s="11" t="n">
        <v>180</v>
      </c>
      <c r="J195" s="11" t="n"/>
      <c r="K195" s="11" t="n"/>
      <c r="L195" s="11" t="n"/>
      <c r="M195" s="12">
        <f>IF(OR(H195="",I195=""),"",(Profiles!$B$4*(Profiles!$B$10*H195+Profiles!$B$9*IF(J195="",H195,J195)+Profiles!$B$11*IF(K195="",H195,K195))+Profiles!$C$4*I195)/1000000+Profiles!$D$4*IF(L195="",0,L195))</f>
        <v/>
      </c>
      <c r="N195" s="12">
        <f>IF(OR(H195="",I195=""),"",(Profiles!$B$5*(Profiles!$B$10*H195+Profiles!$B$9*IF(J195="",H195,J195)+Profiles!$B$11*IF(K195="",H195,K195))+Profiles!$C$5*I195)/1000000+Profiles!$D$5*IF(L195="",0,L195))</f>
        <v/>
      </c>
      <c r="O195" s="12">
        <f>IF(OR(H195="",I195=""),"",(Profiles!$B$6*(Profiles!$B$10*H195+Profiles!$B$9*IF(J195="",H195,J195)+Profiles!$B$11*IF(K195="",H195,K195))+Profiles!$C$6*I195)/1000000+Profiles!$D$6*IF(L195="",0,L195))</f>
        <v/>
      </c>
      <c r="P195" s="12">
        <f>IF(OR(H195="",I195=""),"",(Profiles!$B$5*(Profiles!$B$10*H195+Profiles!$B$9*H195+Profiles!$B$11*H195)+Profiles!$C$5*I195)/1000000+Profiles!$D$5*IF(L195="",0,L195))</f>
        <v/>
      </c>
      <c r="Q195" t="inlineStr">
        <is>
          <t>2026-03-05</t>
        </is>
      </c>
    </row>
    <row r="196">
      <c r="A196" t="inlineStr">
        <is>
          <t>nvidia/nemotron-3.5-content-safety:free</t>
        </is>
      </c>
      <c r="B196" t="inlineStr">
        <is>
          <t>NVIDIA: Nemotron 3.5 Content Safety (free)</t>
        </is>
      </c>
      <c r="D196" t="inlineStr">
        <is>
          <t>no</t>
        </is>
      </c>
      <c r="E196" t="inlineStr">
        <is>
          <t>yes</t>
        </is>
      </c>
      <c r="F196" s="10" t="n">
        <v>128000</v>
      </c>
      <c r="G196" t="inlineStr">
        <is>
          <t>free</t>
        </is>
      </c>
      <c r="H196" s="11" t="n">
        <v>0</v>
      </c>
      <c r="I196" s="11" t="n">
        <v>0</v>
      </c>
      <c r="J196" s="11" t="n"/>
      <c r="K196" s="11" t="n"/>
      <c r="L196" s="11" t="n"/>
      <c r="M196" s="12">
        <f>IF(OR(H196="",I196=""),"",(Profiles!$B$4*(Profiles!$B$10*H196+Profiles!$B$9*IF(J196="",H196,J196)+Profiles!$B$11*IF(K196="",H196,K196))+Profiles!$C$4*I196)/1000000+Profiles!$D$4*IF(L196="",0,L196))</f>
        <v/>
      </c>
      <c r="N196" s="12">
        <f>IF(OR(H196="",I196=""),"",(Profiles!$B$5*(Profiles!$B$10*H196+Profiles!$B$9*IF(J196="",H196,J196)+Profiles!$B$11*IF(K196="",H196,K196))+Profiles!$C$5*I196)/1000000+Profiles!$D$5*IF(L196="",0,L196))</f>
        <v/>
      </c>
      <c r="O196" s="12">
        <f>IF(OR(H196="",I196=""),"",(Profiles!$B$6*(Profiles!$B$10*H196+Profiles!$B$9*IF(J196="",H196,J196)+Profiles!$B$11*IF(K196="",H196,K196))+Profiles!$C$6*I196)/1000000+Profiles!$D$6*IF(L196="",0,L196))</f>
        <v/>
      </c>
      <c r="P196" s="12">
        <f>IF(OR(H196="",I196=""),"",(Profiles!$B$5*(Profiles!$B$10*H196+Profiles!$B$9*H196+Profiles!$B$11*H196)+Profiles!$C$5*I196)/1000000+Profiles!$D$5*IF(L196="",0,L196))</f>
        <v/>
      </c>
      <c r="Q196" t="inlineStr">
        <is>
          <t>2026-06-04</t>
        </is>
      </c>
    </row>
    <row r="197">
      <c r="A197" t="inlineStr">
        <is>
          <t>google/lyria-3-pro-preview</t>
        </is>
      </c>
      <c r="B197" t="inlineStr">
        <is>
          <t>Google: Lyria 3 Pro Preview</t>
        </is>
      </c>
      <c r="D197" t="inlineStr">
        <is>
          <t>no</t>
        </is>
      </c>
      <c r="E197" t="inlineStr">
        <is>
          <t>yes</t>
        </is>
      </c>
      <c r="F197" s="10" t="n">
        <v>1048576</v>
      </c>
      <c r="G197" t="inlineStr">
        <is>
          <t>free</t>
        </is>
      </c>
      <c r="H197" s="11" t="n">
        <v>0</v>
      </c>
      <c r="I197" s="11" t="n">
        <v>0</v>
      </c>
      <c r="J197" s="11" t="n"/>
      <c r="K197" s="11" t="n"/>
      <c r="L197" s="11" t="n"/>
      <c r="M197" s="12">
        <f>IF(OR(H197="",I197=""),"",(Profiles!$B$4*(Profiles!$B$10*H197+Profiles!$B$9*IF(J197="",H197,J197)+Profiles!$B$11*IF(K197="",H197,K197))+Profiles!$C$4*I197)/1000000+Profiles!$D$4*IF(L197="",0,L197))</f>
        <v/>
      </c>
      <c r="N197" s="12">
        <f>IF(OR(H197="",I197=""),"",(Profiles!$B$5*(Profiles!$B$10*H197+Profiles!$B$9*IF(J197="",H197,J197)+Profiles!$B$11*IF(K197="",H197,K197))+Profiles!$C$5*I197)/1000000+Profiles!$D$5*IF(L197="",0,L197))</f>
        <v/>
      </c>
      <c r="O197" s="12">
        <f>IF(OR(H197="",I197=""),"",(Profiles!$B$6*(Profiles!$B$10*H197+Profiles!$B$9*IF(J197="",H197,J197)+Profiles!$B$11*IF(K197="",H197,K197))+Profiles!$C$6*I197)/1000000+Profiles!$D$6*IF(L197="",0,L197))</f>
        <v/>
      </c>
      <c r="P197" s="12">
        <f>IF(OR(H197="",I197=""),"",(Profiles!$B$5*(Profiles!$B$10*H197+Profiles!$B$9*H197+Profiles!$B$11*H197)+Profiles!$C$5*I197)/1000000+Profiles!$D$5*IF(L197="",0,L197))</f>
        <v/>
      </c>
      <c r="Q197" t="inlineStr">
        <is>
          <t>2026-03-30</t>
        </is>
      </c>
    </row>
    <row r="198">
      <c r="A198" t="inlineStr">
        <is>
          <t>google/lyria-3-clip-preview</t>
        </is>
      </c>
      <c r="B198" t="inlineStr">
        <is>
          <t>Google: Lyria 3 Clip Preview</t>
        </is>
      </c>
      <c r="D198" t="inlineStr">
        <is>
          <t>no</t>
        </is>
      </c>
      <c r="E198" t="inlineStr">
        <is>
          <t>yes</t>
        </is>
      </c>
      <c r="F198" s="10" t="n">
        <v>1048576</v>
      </c>
      <c r="G198" t="inlineStr">
        <is>
          <t>free</t>
        </is>
      </c>
      <c r="H198" s="11" t="n">
        <v>0</v>
      </c>
      <c r="I198" s="11" t="n">
        <v>0</v>
      </c>
      <c r="J198" s="11" t="n"/>
      <c r="K198" s="11" t="n"/>
      <c r="L198" s="11" t="n"/>
      <c r="M198" s="12">
        <f>IF(OR(H198="",I198=""),"",(Profiles!$B$4*(Profiles!$B$10*H198+Profiles!$B$9*IF(J198="",H198,J198)+Profiles!$B$11*IF(K198="",H198,K198))+Profiles!$C$4*I198)/1000000+Profiles!$D$4*IF(L198="",0,L198))</f>
        <v/>
      </c>
      <c r="N198" s="12">
        <f>IF(OR(H198="",I198=""),"",(Profiles!$B$5*(Profiles!$B$10*H198+Profiles!$B$9*IF(J198="",H198,J198)+Profiles!$B$11*IF(K198="",H198,K198))+Profiles!$C$5*I198)/1000000+Profiles!$D$5*IF(L198="",0,L198))</f>
        <v/>
      </c>
      <c r="O198" s="12">
        <f>IF(OR(H198="",I198=""),"",(Profiles!$B$6*(Profiles!$B$10*H198+Profiles!$B$9*IF(J198="",H198,J198)+Profiles!$B$11*IF(K198="",H198,K198))+Profiles!$C$6*I198)/1000000+Profiles!$D$6*IF(L198="",0,L198))</f>
        <v/>
      </c>
      <c r="P198" s="12">
        <f>IF(OR(H198="",I198=""),"",(Profiles!$B$5*(Profiles!$B$10*H198+Profiles!$B$9*H198+Profiles!$B$11*H198)+Profiles!$C$5*I198)/1000000+Profiles!$D$5*IF(L198="",0,L198))</f>
        <v/>
      </c>
      <c r="Q198" t="inlineStr">
        <is>
          <t>2026-03-30</t>
        </is>
      </c>
    </row>
    <row r="199">
      <c r="A199" t="inlineStr">
        <is>
          <t>openai/gpt-5-nano:batch</t>
        </is>
      </c>
      <c r="B199" t="inlineStr">
        <is>
          <t>OpenAI: GPT-5 Nano (batch)</t>
        </is>
      </c>
      <c r="D199" t="inlineStr">
        <is>
          <t>yes</t>
        </is>
      </c>
      <c r="E199" t="inlineStr">
        <is>
          <t>yes</t>
        </is>
      </c>
      <c r="F199" s="10" t="n">
        <v>400000</v>
      </c>
      <c r="G199" t="inlineStr">
        <is>
          <t>batch (not interactive)</t>
        </is>
      </c>
      <c r="H199" s="11" t="n">
        <v>0.025</v>
      </c>
      <c r="I199" s="11" t="n">
        <v>0.2</v>
      </c>
      <c r="J199" s="11" t="n">
        <v>0.0025</v>
      </c>
      <c r="K199" s="11" t="n"/>
      <c r="L199" s="11" t="n"/>
      <c r="M199" s="12">
        <f>IF(OR(H199="",I199=""),"",(Profiles!$B$4*(Profiles!$B$10*H199+Profiles!$B$9*IF(J199="",H199,J199)+Profiles!$B$11*IF(K199="",H199,K199))+Profiles!$C$4*I199)/1000000+Profiles!$D$4*IF(L199="",0,L199))</f>
        <v/>
      </c>
      <c r="N199" s="12">
        <f>IF(OR(H199="",I199=""),"",(Profiles!$B$5*(Profiles!$B$10*H199+Profiles!$B$9*IF(J199="",H199,J199)+Profiles!$B$11*IF(K199="",H199,K199))+Profiles!$C$5*I199)/1000000+Profiles!$D$5*IF(L199="",0,L199))</f>
        <v/>
      </c>
      <c r="O199" s="12">
        <f>IF(OR(H199="",I199=""),"",(Profiles!$B$6*(Profiles!$B$10*H199+Profiles!$B$9*IF(J199="",H199,J199)+Profiles!$B$11*IF(K199="",H199,K199))+Profiles!$C$6*I199)/1000000+Profiles!$D$6*IF(L199="",0,L199))</f>
        <v/>
      </c>
      <c r="P199" s="12">
        <f>IF(OR(H199="",I199=""),"",(Profiles!$B$5*(Profiles!$B$10*H199+Profiles!$B$9*H199+Profiles!$B$11*H199)+Profiles!$C$5*I199)/1000000+Profiles!$D$5*IF(L199="",0,L199))</f>
        <v/>
      </c>
      <c r="Q199" t="inlineStr">
        <is>
          <t>2025-08-07</t>
        </is>
      </c>
    </row>
    <row r="200">
      <c r="A200" t="inlineStr">
        <is>
          <t>openai/gpt-6-luna-pro:batch</t>
        </is>
      </c>
      <c r="B200" t="inlineStr">
        <is>
          <t>OpenAI: GPT-6 Luna Pro (batch)</t>
        </is>
      </c>
      <c r="D200" t="inlineStr">
        <is>
          <t>yes</t>
        </is>
      </c>
      <c r="E200" t="inlineStr">
        <is>
          <t>yes</t>
        </is>
      </c>
      <c r="F200" s="10" t="n">
        <v>1050000</v>
      </c>
      <c r="G200" t="inlineStr">
        <is>
          <t>batch (not interactive)</t>
        </is>
      </c>
      <c r="H200" s="11" t="n">
        <v>0.05</v>
      </c>
      <c r="I200" s="11" t="n">
        <v>0.25</v>
      </c>
      <c r="J200" s="11" t="n">
        <v>0.005</v>
      </c>
      <c r="K200" s="11" t="n">
        <v>0.0625</v>
      </c>
      <c r="L200" s="11" t="n"/>
      <c r="M200" s="12">
        <f>IF(OR(H200="",I200=""),"",(Profiles!$B$4*(Profiles!$B$10*H200+Profiles!$B$9*IF(J200="",H200,J200)+Profiles!$B$11*IF(K200="",H200,K200))+Profiles!$C$4*I200)/1000000+Profiles!$D$4*IF(L200="",0,L200))</f>
        <v/>
      </c>
      <c r="N200" s="12">
        <f>IF(OR(H200="",I200=""),"",(Profiles!$B$5*(Profiles!$B$10*H200+Profiles!$B$9*IF(J200="",H200,J200)+Profiles!$B$11*IF(K200="",H200,K200))+Profiles!$C$5*I200)/1000000+Profiles!$D$5*IF(L200="",0,L200))</f>
        <v/>
      </c>
      <c r="O200" s="12">
        <f>IF(OR(H200="",I200=""),"",(Profiles!$B$6*(Profiles!$B$10*H200+Profiles!$B$9*IF(J200="",H200,J200)+Profiles!$B$11*IF(K200="",H200,K200))+Profiles!$C$6*I200)/1000000+Profiles!$D$6*IF(L200="",0,L200))</f>
        <v/>
      </c>
      <c r="P200" s="12">
        <f>IF(OR(H200="",I200=""),"",(Profiles!$B$5*(Profiles!$B$10*H200+Profiles!$B$9*H200+Profiles!$B$11*H200)+Profiles!$C$5*I200)/1000000+Profiles!$D$5*IF(L200="",0,L200))</f>
        <v/>
      </c>
      <c r="Q200" t="inlineStr">
        <is>
          <t>2026-09-22</t>
        </is>
      </c>
    </row>
    <row r="201">
      <c r="A201" t="inlineStr">
        <is>
          <t>openai/gpt-6-luna:batch</t>
        </is>
      </c>
      <c r="B201" t="inlineStr">
        <is>
          <t>OpenAI: GPT-6 Luna (batch)</t>
        </is>
      </c>
      <c r="D201" t="inlineStr">
        <is>
          <t>yes</t>
        </is>
      </c>
      <c r="E201" t="inlineStr">
        <is>
          <t>yes</t>
        </is>
      </c>
      <c r="F201" s="10" t="n">
        <v>1050000</v>
      </c>
      <c r="G201" t="inlineStr">
        <is>
          <t>batch (not interactive)</t>
        </is>
      </c>
      <c r="H201" s="11" t="n">
        <v>0.05</v>
      </c>
      <c r="I201" s="11" t="n">
        <v>0.25</v>
      </c>
      <c r="J201" s="11" t="n">
        <v>0.005</v>
      </c>
      <c r="K201" s="11" t="n">
        <v>0.0625</v>
      </c>
      <c r="L201" s="11" t="n"/>
      <c r="M201" s="12">
        <f>IF(OR(H201="",I201=""),"",(Profiles!$B$4*(Profiles!$B$10*H201+Profiles!$B$9*IF(J201="",H201,J201)+Profiles!$B$11*IF(K201="",H201,K201))+Profiles!$C$4*I201)/1000000+Profiles!$D$4*IF(L201="",0,L201))</f>
        <v/>
      </c>
      <c r="N201" s="12">
        <f>IF(OR(H201="",I201=""),"",(Profiles!$B$5*(Profiles!$B$10*H201+Profiles!$B$9*IF(J201="",H201,J201)+Profiles!$B$11*IF(K201="",H201,K201))+Profiles!$C$5*I201)/1000000+Profiles!$D$5*IF(L201="",0,L201))</f>
        <v/>
      </c>
      <c r="O201" s="12">
        <f>IF(OR(H201="",I201=""),"",(Profiles!$B$6*(Profiles!$B$10*H201+Profiles!$B$9*IF(J201="",H201,J201)+Profiles!$B$11*IF(K201="",H201,K201))+Profiles!$C$6*I201)/1000000+Profiles!$D$6*IF(L201="",0,L201))</f>
        <v/>
      </c>
      <c r="P201" s="12">
        <f>IF(OR(H201="",I201=""),"",(Profiles!$B$5*(Profiles!$B$10*H201+Profiles!$B$9*H201+Profiles!$B$11*H201)+Profiles!$C$5*I201)/1000000+Profiles!$D$5*IF(L201="",0,L201))</f>
        <v/>
      </c>
      <c r="Q201" t="inlineStr">
        <is>
          <t>2026-09-22</t>
        </is>
      </c>
    </row>
    <row r="202">
      <c r="A202" t="inlineStr">
        <is>
          <t>mistralai/ministral-8b-2512:batch</t>
        </is>
      </c>
      <c r="B202" t="inlineStr">
        <is>
          <t>Mistral: Ministral 3 8B 2512 (batch)</t>
        </is>
      </c>
      <c r="D202" t="inlineStr">
        <is>
          <t>yes</t>
        </is>
      </c>
      <c r="E202" t="inlineStr">
        <is>
          <t>yes</t>
        </is>
      </c>
      <c r="F202" s="10" t="n">
        <v>262144</v>
      </c>
      <c r="G202" t="inlineStr">
        <is>
          <t>batch (not interactive)</t>
        </is>
      </c>
      <c r="H202" s="11" t="n">
        <v>0.075</v>
      </c>
      <c r="I202" s="11" t="n">
        <v>0.075</v>
      </c>
      <c r="J202" s="11" t="n">
        <v>0.0075</v>
      </c>
      <c r="K202" s="11" t="n"/>
      <c r="L202" s="11" t="n"/>
      <c r="M202" s="12">
        <f>IF(OR(H202="",I202=""),"",(Profiles!$B$4*(Profiles!$B$10*H202+Profiles!$B$9*IF(J202="",H202,J202)+Profiles!$B$11*IF(K202="",H202,K202))+Profiles!$C$4*I202)/1000000+Profiles!$D$4*IF(L202="",0,L202))</f>
        <v/>
      </c>
      <c r="N202" s="12">
        <f>IF(OR(H202="",I202=""),"",(Profiles!$B$5*(Profiles!$B$10*H202+Profiles!$B$9*IF(J202="",H202,J202)+Profiles!$B$11*IF(K202="",H202,K202))+Profiles!$C$5*I202)/1000000+Profiles!$D$5*IF(L202="",0,L202))</f>
        <v/>
      </c>
      <c r="O202" s="12">
        <f>IF(OR(H202="",I202=""),"",(Profiles!$B$6*(Profiles!$B$10*H202+Profiles!$B$9*IF(J202="",H202,J202)+Profiles!$B$11*IF(K202="",H202,K202))+Profiles!$C$6*I202)/1000000+Profiles!$D$6*IF(L202="",0,L202))</f>
        <v/>
      </c>
      <c r="P202" s="12">
        <f>IF(OR(H202="",I202=""),"",(Profiles!$B$5*(Profiles!$B$10*H202+Profiles!$B$9*H202+Profiles!$B$11*H202)+Profiles!$C$5*I202)/1000000+Profiles!$D$5*IF(L202="",0,L202))</f>
        <v/>
      </c>
      <c r="Q202" t="inlineStr">
        <is>
          <t>2025-12-02</t>
        </is>
      </c>
    </row>
    <row r="203">
      <c r="A203" t="inlineStr">
        <is>
          <t>google/gemini-2.5-flash-lite:batch</t>
        </is>
      </c>
      <c r="B203" t="inlineStr">
        <is>
          <t>Google: Gemini 2.5 Flash Lite (batch)</t>
        </is>
      </c>
      <c r="D203" t="inlineStr">
        <is>
          <t>yes</t>
        </is>
      </c>
      <c r="E203" t="inlineStr">
        <is>
          <t>yes</t>
        </is>
      </c>
      <c r="F203" s="10" t="n">
        <v>1048576</v>
      </c>
      <c r="G203" t="inlineStr">
        <is>
          <t>batch (not interactive)</t>
        </is>
      </c>
      <c r="H203" s="11" t="n">
        <v>0.05</v>
      </c>
      <c r="I203" s="11" t="n">
        <v>0.2</v>
      </c>
      <c r="J203" s="11" t="n">
        <v>0.01</v>
      </c>
      <c r="K203" s="11" t="n"/>
      <c r="L203" s="11" t="n">
        <v>5e-08</v>
      </c>
      <c r="M203" s="12">
        <f>IF(OR(H203="",I203=""),"",(Profiles!$B$4*(Profiles!$B$10*H203+Profiles!$B$9*IF(J203="",H203,J203)+Profiles!$B$11*IF(K203="",H203,K203))+Profiles!$C$4*I203)/1000000+Profiles!$D$4*IF(L203="",0,L203))</f>
        <v/>
      </c>
      <c r="N203" s="12">
        <f>IF(OR(H203="",I203=""),"",(Profiles!$B$5*(Profiles!$B$10*H203+Profiles!$B$9*IF(J203="",H203,J203)+Profiles!$B$11*IF(K203="",H203,K203))+Profiles!$C$5*I203)/1000000+Profiles!$D$5*IF(L203="",0,L203))</f>
        <v/>
      </c>
      <c r="O203" s="12">
        <f>IF(OR(H203="",I203=""),"",(Profiles!$B$6*(Profiles!$B$10*H203+Profiles!$B$9*IF(J203="",H203,J203)+Profiles!$B$11*IF(K203="",H203,K203))+Profiles!$C$6*I203)/1000000+Profiles!$D$6*IF(L203="",0,L203))</f>
        <v/>
      </c>
      <c r="P203" s="12">
        <f>IF(OR(H203="",I203=""),"",(Profiles!$B$5*(Profiles!$B$10*H203+Profiles!$B$9*H203+Profiles!$B$11*H203)+Profiles!$C$5*I203)/1000000+Profiles!$D$5*IF(L203="",0,L203))</f>
        <v/>
      </c>
      <c r="Q203" t="inlineStr">
        <is>
          <t>2025-07-22</t>
        </is>
      </c>
    </row>
    <row r="204">
      <c r="A204" t="inlineStr">
        <is>
          <t>mistralai/mistral-small-2603:batch</t>
        </is>
      </c>
      <c r="B204" t="inlineStr">
        <is>
          <t>Mistral: Mistral Small 4 (batch)</t>
        </is>
      </c>
      <c r="D204" t="inlineStr">
        <is>
          <t>yes</t>
        </is>
      </c>
      <c r="E204" t="inlineStr">
        <is>
          <t>yes</t>
        </is>
      </c>
      <c r="F204" s="10" t="n">
        <v>262144</v>
      </c>
      <c r="G204" t="inlineStr">
        <is>
          <t>batch (not interactive)</t>
        </is>
      </c>
      <c r="H204" s="11" t="n">
        <v>0.075</v>
      </c>
      <c r="I204" s="11" t="n">
        <v>0.3</v>
      </c>
      <c r="J204" s="11" t="n">
        <v>0.0075</v>
      </c>
      <c r="K204" s="11" t="n"/>
      <c r="L204" s="11" t="n"/>
      <c r="M204" s="12">
        <f>IF(OR(H204="",I204=""),"",(Profiles!$B$4*(Profiles!$B$10*H204+Profiles!$B$9*IF(J204="",H204,J204)+Profiles!$B$11*IF(K204="",H204,K204))+Profiles!$C$4*I204)/1000000+Profiles!$D$4*IF(L204="",0,L204))</f>
        <v/>
      </c>
      <c r="N204" s="12">
        <f>IF(OR(H204="",I204=""),"",(Profiles!$B$5*(Profiles!$B$10*H204+Profiles!$B$9*IF(J204="",H204,J204)+Profiles!$B$11*IF(K204="",H204,K204))+Profiles!$C$5*I204)/1000000+Profiles!$D$5*IF(L204="",0,L204))</f>
        <v/>
      </c>
      <c r="O204" s="12">
        <f>IF(OR(H204="",I204=""),"",(Profiles!$B$6*(Profiles!$B$10*H204+Profiles!$B$9*IF(J204="",H204,J204)+Profiles!$B$11*IF(K204="",H204,K204))+Profiles!$C$6*I204)/1000000+Profiles!$D$6*IF(L204="",0,L204))</f>
        <v/>
      </c>
      <c r="P204" s="12">
        <f>IF(OR(H204="",I204=""),"",(Profiles!$B$5*(Profiles!$B$10*H204+Profiles!$B$9*H204+Profiles!$B$11*H204)+Profiles!$C$5*I204)/1000000+Profiles!$D$5*IF(L204="",0,L204))</f>
        <v/>
      </c>
      <c r="Q204" t="inlineStr">
        <is>
          <t>2026-03-16</t>
        </is>
      </c>
    </row>
    <row r="205">
      <c r="A205" t="inlineStr">
        <is>
          <t>deepseek/deepseek-v4.1-flash:batch</t>
        </is>
      </c>
      <c r="B205" t="inlineStr">
        <is>
          <t>DeepSeek: DeepSeek V4.1 Flash (batch)</t>
        </is>
      </c>
      <c r="D205" t="inlineStr">
        <is>
          <t>yes</t>
        </is>
      </c>
      <c r="E205" t="inlineStr">
        <is>
          <t>yes</t>
        </is>
      </c>
      <c r="F205" s="10" t="n">
        <v>1048576</v>
      </c>
      <c r="G205" t="inlineStr">
        <is>
          <t>batch (not interactive)</t>
        </is>
      </c>
      <c r="H205" s="11" t="n">
        <v>0.112</v>
      </c>
      <c r="I205" s="11" t="n">
        <v>0.336</v>
      </c>
      <c r="J205" s="11" t="n">
        <v>0.00336</v>
      </c>
      <c r="K205" s="11" t="n"/>
      <c r="L205" s="11" t="n"/>
      <c r="M205" s="12">
        <f>IF(OR(H205="",I205=""),"",(Profiles!$B$4*(Profiles!$B$10*H205+Profiles!$B$9*IF(J205="",H205,J205)+Profiles!$B$11*IF(K205="",H205,K205))+Profiles!$C$4*I205)/1000000+Profiles!$D$4*IF(L205="",0,L205))</f>
        <v/>
      </c>
      <c r="N205" s="12">
        <f>IF(OR(H205="",I205=""),"",(Profiles!$B$5*(Profiles!$B$10*H205+Profiles!$B$9*IF(J205="",H205,J205)+Profiles!$B$11*IF(K205="",H205,K205))+Profiles!$C$5*I205)/1000000+Profiles!$D$5*IF(L205="",0,L205))</f>
        <v/>
      </c>
      <c r="O205" s="12">
        <f>IF(OR(H205="",I205=""),"",(Profiles!$B$6*(Profiles!$B$10*H205+Profiles!$B$9*IF(J205="",H205,J205)+Profiles!$B$11*IF(K205="",H205,K205))+Profiles!$C$6*I205)/1000000+Profiles!$D$6*IF(L205="",0,L205))</f>
        <v/>
      </c>
      <c r="P205" s="12">
        <f>IF(OR(H205="",I205=""),"",(Profiles!$B$5*(Profiles!$B$10*H205+Profiles!$B$9*H205+Profiles!$B$11*H205)+Profiles!$C$5*I205)/1000000+Profiles!$D$5*IF(L205="",0,L205))</f>
        <v/>
      </c>
      <c r="Q205" t="inlineStr">
        <is>
          <t>2026-09-10</t>
        </is>
      </c>
    </row>
    <row r="206">
      <c r="A206" t="inlineStr">
        <is>
          <t>openai/gpt-4.1-nano:batch</t>
        </is>
      </c>
      <c r="B206" t="inlineStr">
        <is>
          <t>OpenAI: GPT-4.1 Nano (batch)</t>
        </is>
      </c>
      <c r="D206" t="inlineStr">
        <is>
          <t>yes</t>
        </is>
      </c>
      <c r="E206" t="inlineStr">
        <is>
          <t>yes</t>
        </is>
      </c>
      <c r="F206" s="10" t="n">
        <v>1047576</v>
      </c>
      <c r="G206" t="inlineStr">
        <is>
          <t>batch (not interactive)</t>
        </is>
      </c>
      <c r="H206" s="11" t="n">
        <v>0.05</v>
      </c>
      <c r="I206" s="11" t="n">
        <v>0.2</v>
      </c>
      <c r="J206" s="11" t="n">
        <v>0.0125</v>
      </c>
      <c r="K206" s="11" t="n"/>
      <c r="L206" s="11" t="n"/>
      <c r="M206" s="12">
        <f>IF(OR(H206="",I206=""),"",(Profiles!$B$4*(Profiles!$B$10*H206+Profiles!$B$9*IF(J206="",H206,J206)+Profiles!$B$11*IF(K206="",H206,K206))+Profiles!$C$4*I206)/1000000+Profiles!$D$4*IF(L206="",0,L206))</f>
        <v/>
      </c>
      <c r="N206" s="12">
        <f>IF(OR(H206="",I206=""),"",(Profiles!$B$5*(Profiles!$B$10*H206+Profiles!$B$9*IF(J206="",H206,J206)+Profiles!$B$11*IF(K206="",H206,K206))+Profiles!$C$5*I206)/1000000+Profiles!$D$5*IF(L206="",0,L206))</f>
        <v/>
      </c>
      <c r="O206" s="12">
        <f>IF(OR(H206="",I206=""),"",(Profiles!$B$6*(Profiles!$B$10*H206+Profiles!$B$9*IF(J206="",H206,J206)+Profiles!$B$11*IF(K206="",H206,K206))+Profiles!$C$6*I206)/1000000+Profiles!$D$6*IF(L206="",0,L206))</f>
        <v/>
      </c>
      <c r="P206" s="12">
        <f>IF(OR(H206="",I206=""),"",(Profiles!$B$5*(Profiles!$B$10*H206+Profiles!$B$9*H206+Profiles!$B$11*H206)+Profiles!$C$5*I206)/1000000+Profiles!$D$5*IF(L206="",0,L206))</f>
        <v/>
      </c>
      <c r="Q206" t="inlineStr">
        <is>
          <t>2025-04-14</t>
        </is>
      </c>
    </row>
    <row r="207">
      <c r="A207" t="inlineStr">
        <is>
          <t>z-ai/glm-5.3-flash:batch</t>
        </is>
      </c>
      <c r="B207" t="inlineStr">
        <is>
          <t>Z.ai: GLM 5.3 Flash (batch)</t>
        </is>
      </c>
      <c r="D207" t="inlineStr">
        <is>
          <t>yes</t>
        </is>
      </c>
      <c r="E207" t="inlineStr">
        <is>
          <t>yes</t>
        </is>
      </c>
      <c r="F207" s="10" t="n">
        <v>1048576</v>
      </c>
      <c r="G207" t="inlineStr">
        <is>
          <t>batch (not interactive)</t>
        </is>
      </c>
      <c r="H207" s="11" t="n">
        <v>0.06</v>
      </c>
      <c r="I207" s="11" t="n">
        <v>0.2</v>
      </c>
      <c r="J207" s="11" t="n">
        <v>0.012</v>
      </c>
      <c r="K207" s="11" t="n"/>
      <c r="L207" s="11" t="n"/>
      <c r="M207" s="12">
        <f>IF(OR(H207="",I207=""),"",(Profiles!$B$4*(Profiles!$B$10*H207+Profiles!$B$9*IF(J207="",H207,J207)+Profiles!$B$11*IF(K207="",H207,K207))+Profiles!$C$4*I207)/1000000+Profiles!$D$4*IF(L207="",0,L207))</f>
        <v/>
      </c>
      <c r="N207" s="12">
        <f>IF(OR(H207="",I207=""),"",(Profiles!$B$5*(Profiles!$B$10*H207+Profiles!$B$9*IF(J207="",H207,J207)+Profiles!$B$11*IF(K207="",H207,K207))+Profiles!$C$5*I207)/1000000+Profiles!$D$5*IF(L207="",0,L207))</f>
        <v/>
      </c>
      <c r="O207" s="12">
        <f>IF(OR(H207="",I207=""),"",(Profiles!$B$6*(Profiles!$B$10*H207+Profiles!$B$9*IF(J207="",H207,J207)+Profiles!$B$11*IF(K207="",H207,K207))+Profiles!$C$6*I207)/1000000+Profiles!$D$6*IF(L207="",0,L207))</f>
        <v/>
      </c>
      <c r="P207" s="12">
        <f>IF(OR(H207="",I207=""),"",(Profiles!$B$5*(Profiles!$B$10*H207+Profiles!$B$9*H207+Profiles!$B$11*H207)+Profiles!$C$5*I207)/1000000+Profiles!$D$5*IF(L207="",0,L207))</f>
        <v/>
      </c>
      <c r="Q207" t="inlineStr">
        <is>
          <t>2026-08-26</t>
        </is>
      </c>
    </row>
    <row r="208">
      <c r="A208" t="inlineStr">
        <is>
          <t>openai/gpt-5.6-luna-pro:batch</t>
        </is>
      </c>
      <c r="B208" t="inlineStr">
        <is>
          <t>OpenAI: GPT-5.6 Luna Pro (batch)</t>
        </is>
      </c>
      <c r="D208" t="inlineStr">
        <is>
          <t>yes</t>
        </is>
      </c>
      <c r="E208" t="inlineStr">
        <is>
          <t>yes</t>
        </is>
      </c>
      <c r="F208" s="10" t="n">
        <v>1050000</v>
      </c>
      <c r="G208" t="inlineStr">
        <is>
          <t>batch (not interactive)</t>
        </is>
      </c>
      <c r="H208" s="11" t="n">
        <v>0.09999999999999999</v>
      </c>
      <c r="I208" s="11" t="n">
        <v>0.6</v>
      </c>
      <c r="J208" s="11" t="n">
        <v>0.01</v>
      </c>
      <c r="K208" s="11" t="n"/>
      <c r="L208" s="11" t="n"/>
      <c r="M208" s="12">
        <f>IF(OR(H208="",I208=""),"",(Profiles!$B$4*(Profiles!$B$10*H208+Profiles!$B$9*IF(J208="",H208,J208)+Profiles!$B$11*IF(K208="",H208,K208))+Profiles!$C$4*I208)/1000000+Profiles!$D$4*IF(L208="",0,L208))</f>
        <v/>
      </c>
      <c r="N208" s="12">
        <f>IF(OR(H208="",I208=""),"",(Profiles!$B$5*(Profiles!$B$10*H208+Profiles!$B$9*IF(J208="",H208,J208)+Profiles!$B$11*IF(K208="",H208,K208))+Profiles!$C$5*I208)/1000000+Profiles!$D$5*IF(L208="",0,L208))</f>
        <v/>
      </c>
      <c r="O208" s="12">
        <f>IF(OR(H208="",I208=""),"",(Profiles!$B$6*(Profiles!$B$10*H208+Profiles!$B$9*IF(J208="",H208,J208)+Profiles!$B$11*IF(K208="",H208,K208))+Profiles!$C$6*I208)/1000000+Profiles!$D$6*IF(L208="",0,L208))</f>
        <v/>
      </c>
      <c r="P208" s="12">
        <f>IF(OR(H208="",I208=""),"",(Profiles!$B$5*(Profiles!$B$10*H208+Profiles!$B$9*H208+Profiles!$B$11*H208)+Profiles!$C$5*I208)/1000000+Profiles!$D$5*IF(L208="",0,L208))</f>
        <v/>
      </c>
      <c r="Q208" t="inlineStr">
        <is>
          <t>2026-07-09</t>
        </is>
      </c>
    </row>
    <row r="209">
      <c r="A209" t="inlineStr">
        <is>
          <t>openai/gpt-5.6-luna:batch</t>
        </is>
      </c>
      <c r="B209" t="inlineStr">
        <is>
          <t>OpenAI: GPT-5.6 Luna (batch)</t>
        </is>
      </c>
      <c r="D209" t="inlineStr">
        <is>
          <t>yes</t>
        </is>
      </c>
      <c r="E209" t="inlineStr">
        <is>
          <t>yes</t>
        </is>
      </c>
      <c r="F209" s="10" t="n">
        <v>1050000</v>
      </c>
      <c r="G209" t="inlineStr">
        <is>
          <t>batch (not interactive)</t>
        </is>
      </c>
      <c r="H209" s="11" t="n">
        <v>0.09999999999999999</v>
      </c>
      <c r="I209" s="11" t="n">
        <v>0.6</v>
      </c>
      <c r="J209" s="11" t="n">
        <v>0.01</v>
      </c>
      <c r="K209" s="11" t="n"/>
      <c r="L209" s="11" t="n"/>
      <c r="M209" s="12">
        <f>IF(OR(H209="",I209=""),"",(Profiles!$B$4*(Profiles!$B$10*H209+Profiles!$B$9*IF(J209="",H209,J209)+Profiles!$B$11*IF(K209="",H209,K209))+Profiles!$C$4*I209)/1000000+Profiles!$D$4*IF(L209="",0,L209))</f>
        <v/>
      </c>
      <c r="N209" s="12">
        <f>IF(OR(H209="",I209=""),"",(Profiles!$B$5*(Profiles!$B$10*H209+Profiles!$B$9*IF(J209="",H209,J209)+Profiles!$B$11*IF(K209="",H209,K209))+Profiles!$C$5*I209)/1000000+Profiles!$D$5*IF(L209="",0,L209))</f>
        <v/>
      </c>
      <c r="O209" s="12">
        <f>IF(OR(H209="",I209=""),"",(Profiles!$B$6*(Profiles!$B$10*H209+Profiles!$B$9*IF(J209="",H209,J209)+Profiles!$B$11*IF(K209="",H209,K209))+Profiles!$C$6*I209)/1000000+Profiles!$D$6*IF(L209="",0,L209))</f>
        <v/>
      </c>
      <c r="P209" s="12">
        <f>IF(OR(H209="",I209=""),"",(Profiles!$B$5*(Profiles!$B$10*H209+Profiles!$B$9*H209+Profiles!$B$11*H209)+Profiles!$C$5*I209)/1000000+Profiles!$D$5*IF(L209="",0,L209))</f>
        <v/>
      </c>
      <c r="Q209" t="inlineStr">
        <is>
          <t>2026-07-09</t>
        </is>
      </c>
    </row>
    <row r="210">
      <c r="A210" t="inlineStr">
        <is>
          <t>openai/gpt-5.4-nano:batch</t>
        </is>
      </c>
      <c r="B210" t="inlineStr">
        <is>
          <t>OpenAI: GPT-5.4 Nano (batch)</t>
        </is>
      </c>
      <c r="D210" t="inlineStr">
        <is>
          <t>yes</t>
        </is>
      </c>
      <c r="E210" t="inlineStr">
        <is>
          <t>yes</t>
        </is>
      </c>
      <c r="F210" s="10" t="n">
        <v>400000</v>
      </c>
      <c r="G210" t="inlineStr">
        <is>
          <t>batch (not interactive)</t>
        </is>
      </c>
      <c r="H210" s="11" t="n">
        <v>0.09999999999999999</v>
      </c>
      <c r="I210" s="11" t="n">
        <v>0.625</v>
      </c>
      <c r="J210" s="11" t="n">
        <v>0.01</v>
      </c>
      <c r="K210" s="11" t="n"/>
      <c r="L210" s="11" t="n"/>
      <c r="M210" s="12">
        <f>IF(OR(H210="",I210=""),"",(Profiles!$B$4*(Profiles!$B$10*H210+Profiles!$B$9*IF(J210="",H210,J210)+Profiles!$B$11*IF(K210="",H210,K210))+Profiles!$C$4*I210)/1000000+Profiles!$D$4*IF(L210="",0,L210))</f>
        <v/>
      </c>
      <c r="N210" s="12">
        <f>IF(OR(H210="",I210=""),"",(Profiles!$B$5*(Profiles!$B$10*H210+Profiles!$B$9*IF(J210="",H210,J210)+Profiles!$B$11*IF(K210="",H210,K210))+Profiles!$C$5*I210)/1000000+Profiles!$D$5*IF(L210="",0,L210))</f>
        <v/>
      </c>
      <c r="O210" s="12">
        <f>IF(OR(H210="",I210=""),"",(Profiles!$B$6*(Profiles!$B$10*H210+Profiles!$B$9*IF(J210="",H210,J210)+Profiles!$B$11*IF(K210="",H210,K210))+Profiles!$C$6*I210)/1000000+Profiles!$D$6*IF(L210="",0,L210))</f>
        <v/>
      </c>
      <c r="P210" s="12">
        <f>IF(OR(H210="",I210=""),"",(Profiles!$B$5*(Profiles!$B$10*H210+Profiles!$B$9*H210+Profiles!$B$11*H210)+Profiles!$C$5*I210)/1000000+Profiles!$D$5*IF(L210="",0,L210))</f>
        <v/>
      </c>
      <c r="Q210" t="inlineStr">
        <is>
          <t>2026-03-17</t>
        </is>
      </c>
    </row>
    <row r="211">
      <c r="A211" t="inlineStr">
        <is>
          <t>google/gemini-3.1-flash-lite:batch</t>
        </is>
      </c>
      <c r="B211" t="inlineStr">
        <is>
          <t>Google: Gemini 3.1 Flash Lite (batch)</t>
        </is>
      </c>
      <c r="D211" t="inlineStr">
        <is>
          <t>yes</t>
        </is>
      </c>
      <c r="E211" t="inlineStr">
        <is>
          <t>yes</t>
        </is>
      </c>
      <c r="F211" s="10" t="n">
        <v>1048576</v>
      </c>
      <c r="G211" t="inlineStr">
        <is>
          <t>batch (not interactive)</t>
        </is>
      </c>
      <c r="H211" s="11" t="n">
        <v>0.125</v>
      </c>
      <c r="I211" s="11" t="n">
        <v>0.75</v>
      </c>
      <c r="J211" s="11" t="n">
        <v>0.0125</v>
      </c>
      <c r="K211" s="11" t="n"/>
      <c r="L211" s="11" t="n">
        <v>1.25e-07</v>
      </c>
      <c r="M211" s="12">
        <f>IF(OR(H211="",I211=""),"",(Profiles!$B$4*(Profiles!$B$10*H211+Profiles!$B$9*IF(J211="",H211,J211)+Profiles!$B$11*IF(K211="",H211,K211))+Profiles!$C$4*I211)/1000000+Profiles!$D$4*IF(L211="",0,L211))</f>
        <v/>
      </c>
      <c r="N211" s="12">
        <f>IF(OR(H211="",I211=""),"",(Profiles!$B$5*(Profiles!$B$10*H211+Profiles!$B$9*IF(J211="",H211,J211)+Profiles!$B$11*IF(K211="",H211,K211))+Profiles!$C$5*I211)/1000000+Profiles!$D$5*IF(L211="",0,L211))</f>
        <v/>
      </c>
      <c r="O211" s="12">
        <f>IF(OR(H211="",I211=""),"",(Profiles!$B$6*(Profiles!$B$10*H211+Profiles!$B$9*IF(J211="",H211,J211)+Profiles!$B$11*IF(K211="",H211,K211))+Profiles!$C$6*I211)/1000000+Profiles!$D$6*IF(L211="",0,L211))</f>
        <v/>
      </c>
      <c r="P211" s="12">
        <f>IF(OR(H211="",I211=""),"",(Profiles!$B$5*(Profiles!$B$10*H211+Profiles!$B$9*H211+Profiles!$B$11*H211)+Profiles!$C$5*I211)/1000000+Profiles!$D$5*IF(L211="",0,L211))</f>
        <v/>
      </c>
      <c r="Q211" t="inlineStr">
        <is>
          <t>2026-05-07</t>
        </is>
      </c>
    </row>
    <row r="212">
      <c r="A212" t="inlineStr">
        <is>
          <t>openai/gpt-5-mini:batch</t>
        </is>
      </c>
      <c r="B212" t="inlineStr">
        <is>
          <t>OpenAI: GPT-5 Mini (batch)</t>
        </is>
      </c>
      <c r="D212" t="inlineStr">
        <is>
          <t>yes</t>
        </is>
      </c>
      <c r="E212" t="inlineStr">
        <is>
          <t>yes</t>
        </is>
      </c>
      <c r="F212" s="10" t="n">
        <v>400000</v>
      </c>
      <c r="G212" t="inlineStr">
        <is>
          <t>batch (not interactive)</t>
        </is>
      </c>
      <c r="H212" s="11" t="n">
        <v>0.125</v>
      </c>
      <c r="I212" s="11" t="n">
        <v>1</v>
      </c>
      <c r="J212" s="11" t="n">
        <v>0.0125</v>
      </c>
      <c r="K212" s="11" t="n"/>
      <c r="L212" s="11" t="n"/>
      <c r="M212" s="12">
        <f>IF(OR(H212="",I212=""),"",(Profiles!$B$4*(Profiles!$B$10*H212+Profiles!$B$9*IF(J212="",H212,J212)+Profiles!$B$11*IF(K212="",H212,K212))+Profiles!$C$4*I212)/1000000+Profiles!$D$4*IF(L212="",0,L212))</f>
        <v/>
      </c>
      <c r="N212" s="12">
        <f>IF(OR(H212="",I212=""),"",(Profiles!$B$5*(Profiles!$B$10*H212+Profiles!$B$9*IF(J212="",H212,J212)+Profiles!$B$11*IF(K212="",H212,K212))+Profiles!$C$5*I212)/1000000+Profiles!$D$5*IF(L212="",0,L212))</f>
        <v/>
      </c>
      <c r="O212" s="12">
        <f>IF(OR(H212="",I212=""),"",(Profiles!$B$6*(Profiles!$B$10*H212+Profiles!$B$9*IF(J212="",H212,J212)+Profiles!$B$11*IF(K212="",H212,K212))+Profiles!$C$6*I212)/1000000+Profiles!$D$6*IF(L212="",0,L212))</f>
        <v/>
      </c>
      <c r="P212" s="12">
        <f>IF(OR(H212="",I212=""),"",(Profiles!$B$5*(Profiles!$B$10*H212+Profiles!$B$9*H212+Profiles!$B$11*H212)+Profiles!$C$5*I212)/1000000+Profiles!$D$5*IF(L212="",0,L212))</f>
        <v/>
      </c>
      <c r="Q212" t="inlineStr">
        <is>
          <t>2025-08-07</t>
        </is>
      </c>
    </row>
    <row r="213">
      <c r="A213" t="inlineStr">
        <is>
          <t>google/gemini-3.5-flash-lite:batch</t>
        </is>
      </c>
      <c r="B213" t="inlineStr">
        <is>
          <t>Google: Gemini 3.5 Flash Lite (batch)</t>
        </is>
      </c>
      <c r="D213" t="inlineStr">
        <is>
          <t>yes</t>
        </is>
      </c>
      <c r="E213" t="inlineStr">
        <is>
          <t>yes</t>
        </is>
      </c>
      <c r="F213" s="10" t="n">
        <v>1048576</v>
      </c>
      <c r="G213" t="inlineStr">
        <is>
          <t>batch (not interactive)</t>
        </is>
      </c>
      <c r="H213" s="11" t="n">
        <v>0.15</v>
      </c>
      <c r="I213" s="11" t="n">
        <v>1.25</v>
      </c>
      <c r="J213" s="11" t="n">
        <v>0.015</v>
      </c>
      <c r="K213" s="11" t="n"/>
      <c r="L213" s="11" t="n">
        <v>1.5e-07</v>
      </c>
      <c r="M213" s="12">
        <f>IF(OR(H213="",I213=""),"",(Profiles!$B$4*(Profiles!$B$10*H213+Profiles!$B$9*IF(J213="",H213,J213)+Profiles!$B$11*IF(K213="",H213,K213))+Profiles!$C$4*I213)/1000000+Profiles!$D$4*IF(L213="",0,L213))</f>
        <v/>
      </c>
      <c r="N213" s="12">
        <f>IF(OR(H213="",I213=""),"",(Profiles!$B$5*(Profiles!$B$10*H213+Profiles!$B$9*IF(J213="",H213,J213)+Profiles!$B$11*IF(K213="",H213,K213))+Profiles!$C$5*I213)/1000000+Profiles!$D$5*IF(L213="",0,L213))</f>
        <v/>
      </c>
      <c r="O213" s="12">
        <f>IF(OR(H213="",I213=""),"",(Profiles!$B$6*(Profiles!$B$10*H213+Profiles!$B$9*IF(J213="",H213,J213)+Profiles!$B$11*IF(K213="",H213,K213))+Profiles!$C$6*I213)/1000000+Profiles!$D$6*IF(L213="",0,L213))</f>
        <v/>
      </c>
      <c r="P213" s="12">
        <f>IF(OR(H213="",I213=""),"",(Profiles!$B$5*(Profiles!$B$10*H213+Profiles!$B$9*H213+Profiles!$B$11*H213)+Profiles!$C$5*I213)/1000000+Profiles!$D$5*IF(L213="",0,L213))</f>
        <v/>
      </c>
      <c r="Q213" t="inlineStr">
        <is>
          <t>2026-07-21</t>
        </is>
      </c>
    </row>
    <row r="214">
      <c r="A214" t="inlineStr">
        <is>
          <t>openai/gpt-4o-mini:batch</t>
        </is>
      </c>
      <c r="B214" t="inlineStr">
        <is>
          <t>OpenAI: GPT-4o-mini (batch)</t>
        </is>
      </c>
      <c r="D214" t="inlineStr">
        <is>
          <t>yes</t>
        </is>
      </c>
      <c r="E214" t="inlineStr">
        <is>
          <t>yes</t>
        </is>
      </c>
      <c r="F214" s="10" t="n">
        <v>128000</v>
      </c>
      <c r="G214" t="inlineStr">
        <is>
          <t>batch (not interactive)</t>
        </is>
      </c>
      <c r="H214" s="11" t="n">
        <v>0.075</v>
      </c>
      <c r="I214" s="11" t="n">
        <v>0.3</v>
      </c>
      <c r="J214" s="11" t="n">
        <v>0.0375</v>
      </c>
      <c r="K214" s="11" t="n"/>
      <c r="L214" s="11" t="n"/>
      <c r="M214" s="12">
        <f>IF(OR(H214="",I214=""),"",(Profiles!$B$4*(Profiles!$B$10*H214+Profiles!$B$9*IF(J214="",H214,J214)+Profiles!$B$11*IF(K214="",H214,K214))+Profiles!$C$4*I214)/1000000+Profiles!$D$4*IF(L214="",0,L214))</f>
        <v/>
      </c>
      <c r="N214" s="12">
        <f>IF(OR(H214="",I214=""),"",(Profiles!$B$5*(Profiles!$B$10*H214+Profiles!$B$9*IF(J214="",H214,J214)+Profiles!$B$11*IF(K214="",H214,K214))+Profiles!$C$5*I214)/1000000+Profiles!$D$5*IF(L214="",0,L214))</f>
        <v/>
      </c>
      <c r="O214" s="12">
        <f>IF(OR(H214="",I214=""),"",(Profiles!$B$6*(Profiles!$B$10*H214+Profiles!$B$9*IF(J214="",H214,J214)+Profiles!$B$11*IF(K214="",H214,K214))+Profiles!$C$6*I214)/1000000+Profiles!$D$6*IF(L214="",0,L214))</f>
        <v/>
      </c>
      <c r="P214" s="12">
        <f>IF(OR(H214="",I214=""),"",(Profiles!$B$5*(Profiles!$B$10*H214+Profiles!$B$9*H214+Profiles!$B$11*H214)+Profiles!$C$5*I214)/1000000+Profiles!$D$5*IF(L214="",0,L214))</f>
        <v/>
      </c>
      <c r="Q214" t="inlineStr">
        <is>
          <t>2024-07-18</t>
        </is>
      </c>
    </row>
    <row r="215">
      <c r="A215" t="inlineStr">
        <is>
          <t>mistralai/mistral-medium-3.1:batch</t>
        </is>
      </c>
      <c r="B215" t="inlineStr">
        <is>
          <t>Mistral: Mistral Medium 3.1 (batch)</t>
        </is>
      </c>
      <c r="D215" t="inlineStr">
        <is>
          <t>yes</t>
        </is>
      </c>
      <c r="E215" t="inlineStr">
        <is>
          <t>yes</t>
        </is>
      </c>
      <c r="F215" s="10" t="n">
        <v>131072</v>
      </c>
      <c r="G215" t="inlineStr">
        <is>
          <t>batch (not interactive)</t>
        </is>
      </c>
      <c r="H215" s="11" t="n">
        <v>0.2</v>
      </c>
      <c r="I215" s="11" t="n">
        <v>1</v>
      </c>
      <c r="J215" s="11" t="n">
        <v>0.02</v>
      </c>
      <c r="K215" s="11" t="n"/>
      <c r="L215" s="11" t="n"/>
      <c r="M215" s="12">
        <f>IF(OR(H215="",I215=""),"",(Profiles!$B$4*(Profiles!$B$10*H215+Profiles!$B$9*IF(J215="",H215,J215)+Profiles!$B$11*IF(K215="",H215,K215))+Profiles!$C$4*I215)/1000000+Profiles!$D$4*IF(L215="",0,L215))</f>
        <v/>
      </c>
      <c r="N215" s="12">
        <f>IF(OR(H215="",I215=""),"",(Profiles!$B$5*(Profiles!$B$10*H215+Profiles!$B$9*IF(J215="",H215,J215)+Profiles!$B$11*IF(K215="",H215,K215))+Profiles!$C$5*I215)/1000000+Profiles!$D$5*IF(L215="",0,L215))</f>
        <v/>
      </c>
      <c r="O215" s="12">
        <f>IF(OR(H215="",I215=""),"",(Profiles!$B$6*(Profiles!$B$10*H215+Profiles!$B$9*IF(J215="",H215,J215)+Profiles!$B$11*IF(K215="",H215,K215))+Profiles!$C$6*I215)/1000000+Profiles!$D$6*IF(L215="",0,L215))</f>
        <v/>
      </c>
      <c r="P215" s="12">
        <f>IF(OR(H215="",I215=""),"",(Profiles!$B$5*(Profiles!$B$10*H215+Profiles!$B$9*H215+Profiles!$B$11*H215)+Profiles!$C$5*I215)/1000000+Profiles!$D$5*IF(L215="",0,L215))</f>
        <v/>
      </c>
      <c r="Q215" t="inlineStr">
        <is>
          <t>2025-08-13</t>
        </is>
      </c>
    </row>
    <row r="216">
      <c r="A216" t="inlineStr">
        <is>
          <t>google/gemini-2.5-flash:batch</t>
        </is>
      </c>
      <c r="B216" t="inlineStr">
        <is>
          <t>Google: Gemini 2.5 Flash (batch)</t>
        </is>
      </c>
      <c r="D216" t="inlineStr">
        <is>
          <t>yes</t>
        </is>
      </c>
      <c r="E216" t="inlineStr">
        <is>
          <t>yes</t>
        </is>
      </c>
      <c r="F216" s="10" t="n">
        <v>1048576</v>
      </c>
      <c r="G216" t="inlineStr">
        <is>
          <t>batch (not interactive)</t>
        </is>
      </c>
      <c r="H216" s="11" t="n">
        <v>0.15</v>
      </c>
      <c r="I216" s="11" t="n">
        <v>1.25</v>
      </c>
      <c r="J216" s="11" t="n">
        <v>0.03</v>
      </c>
      <c r="K216" s="11" t="n"/>
      <c r="L216" s="11" t="n">
        <v>1.5e-07</v>
      </c>
      <c r="M216" s="12">
        <f>IF(OR(H216="",I216=""),"",(Profiles!$B$4*(Profiles!$B$10*H216+Profiles!$B$9*IF(J216="",H216,J216)+Profiles!$B$11*IF(K216="",H216,K216))+Profiles!$C$4*I216)/1000000+Profiles!$D$4*IF(L216="",0,L216))</f>
        <v/>
      </c>
      <c r="N216" s="12">
        <f>IF(OR(H216="",I216=""),"",(Profiles!$B$5*(Profiles!$B$10*H216+Profiles!$B$9*IF(J216="",H216,J216)+Profiles!$B$11*IF(K216="",H216,K216))+Profiles!$C$5*I216)/1000000+Profiles!$D$5*IF(L216="",0,L216))</f>
        <v/>
      </c>
      <c r="O216" s="12">
        <f>IF(OR(H216="",I216=""),"",(Profiles!$B$6*(Profiles!$B$10*H216+Profiles!$B$9*IF(J216="",H216,J216)+Profiles!$B$11*IF(K216="",H216,K216))+Profiles!$C$6*I216)/1000000+Profiles!$D$6*IF(L216="",0,L216))</f>
        <v/>
      </c>
      <c r="P216" s="12">
        <f>IF(OR(H216="",I216=""),"",(Profiles!$B$5*(Profiles!$B$10*H216+Profiles!$B$9*H216+Profiles!$B$11*H216)+Profiles!$C$5*I216)/1000000+Profiles!$D$5*IF(L216="",0,L216))</f>
        <v/>
      </c>
      <c r="Q216" t="inlineStr">
        <is>
          <t>2025-06-17</t>
        </is>
      </c>
      <c r="R216" t="inlineStr">
        <is>
          <t>2026-10-20</t>
        </is>
      </c>
    </row>
    <row r="217">
      <c r="A217" t="inlineStr">
        <is>
          <t>google/gemma-3-4b-it</t>
        </is>
      </c>
      <c r="B217" t="inlineStr">
        <is>
          <t>Google: Gemma 3 4B</t>
        </is>
      </c>
      <c r="D217" t="inlineStr">
        <is>
          <t>no</t>
        </is>
      </c>
      <c r="E217" t="inlineStr">
        <is>
          <t>yes</t>
        </is>
      </c>
      <c r="F217" s="10" t="n">
        <v>131072</v>
      </c>
      <c r="H217" s="11" t="n">
        <v>0.05</v>
      </c>
      <c r="I217" s="11" t="n">
        <v>0.09999999999999999</v>
      </c>
      <c r="J217" s="11" t="n"/>
      <c r="K217" s="11" t="n"/>
      <c r="L217" s="11" t="n"/>
      <c r="M217" s="12">
        <f>IF(OR(H217="",I217=""),"",(Profiles!$B$4*(Profiles!$B$10*H217+Profiles!$B$9*IF(J217="",H217,J217)+Profiles!$B$11*IF(K217="",H217,K217))+Profiles!$C$4*I217)/1000000+Profiles!$D$4*IF(L217="",0,L217))</f>
        <v/>
      </c>
      <c r="N217" s="12">
        <f>IF(OR(H217="",I217=""),"",(Profiles!$B$5*(Profiles!$B$10*H217+Profiles!$B$9*IF(J217="",H217,J217)+Profiles!$B$11*IF(K217="",H217,K217))+Profiles!$C$5*I217)/1000000+Profiles!$D$5*IF(L217="",0,L217))</f>
        <v/>
      </c>
      <c r="O217" s="12">
        <f>IF(OR(H217="",I217=""),"",(Profiles!$B$6*(Profiles!$B$10*H217+Profiles!$B$9*IF(J217="",H217,J217)+Profiles!$B$11*IF(K217="",H217,K217))+Profiles!$C$6*I217)/1000000+Profiles!$D$6*IF(L217="",0,L217))</f>
        <v/>
      </c>
      <c r="P217" s="12">
        <f>IF(OR(H217="",I217=""),"",(Profiles!$B$5*(Profiles!$B$10*H217+Profiles!$B$9*H217+Profiles!$B$11*H217)+Profiles!$C$5*I217)/1000000+Profiles!$D$5*IF(L217="",0,L217))</f>
        <v/>
      </c>
      <c r="Q217" t="inlineStr">
        <is>
          <t>2025-03-13</t>
        </is>
      </c>
    </row>
    <row r="218">
      <c r="A218" t="inlineStr">
        <is>
          <t>mistralai/mistral-large-2512:batch</t>
        </is>
      </c>
      <c r="B218" t="inlineStr">
        <is>
          <t>Mistral: Mistral Large 3 2512 (batch)</t>
        </is>
      </c>
      <c r="D218" t="inlineStr">
        <is>
          <t>yes</t>
        </is>
      </c>
      <c r="E218" t="inlineStr">
        <is>
          <t>yes</t>
        </is>
      </c>
      <c r="F218" s="10" t="n">
        <v>262144</v>
      </c>
      <c r="G218" t="inlineStr">
        <is>
          <t>batch (not interactive)</t>
        </is>
      </c>
      <c r="H218" s="11" t="n">
        <v>0.25</v>
      </c>
      <c r="I218" s="11" t="n">
        <v>0.75</v>
      </c>
      <c r="J218" s="11" t="n">
        <v>0.025</v>
      </c>
      <c r="K218" s="11" t="n"/>
      <c r="L218" s="11" t="n"/>
      <c r="M218" s="12">
        <f>IF(OR(H218="",I218=""),"",(Profiles!$B$4*(Profiles!$B$10*H218+Profiles!$B$9*IF(J218="",H218,J218)+Profiles!$B$11*IF(K218="",H218,K218))+Profiles!$C$4*I218)/1000000+Profiles!$D$4*IF(L218="",0,L218))</f>
        <v/>
      </c>
      <c r="N218" s="12">
        <f>IF(OR(H218="",I218=""),"",(Profiles!$B$5*(Profiles!$B$10*H218+Profiles!$B$9*IF(J218="",H218,J218)+Profiles!$B$11*IF(K218="",H218,K218))+Profiles!$C$5*I218)/1000000+Profiles!$D$5*IF(L218="",0,L218))</f>
        <v/>
      </c>
      <c r="O218" s="12">
        <f>IF(OR(H218="",I218=""),"",(Profiles!$B$6*(Profiles!$B$10*H218+Profiles!$B$9*IF(J218="",H218,J218)+Profiles!$B$11*IF(K218="",H218,K218))+Profiles!$C$6*I218)/1000000+Profiles!$D$6*IF(L218="",0,L218))</f>
        <v/>
      </c>
      <c r="P218" s="12">
        <f>IF(OR(H218="",I218=""),"",(Profiles!$B$5*(Profiles!$B$10*H218+Profiles!$B$9*H218+Profiles!$B$11*H218)+Profiles!$C$5*I218)/1000000+Profiles!$D$5*IF(L218="",0,L218))</f>
        <v/>
      </c>
      <c r="Q218" t="inlineStr">
        <is>
          <t>2025-12-01</t>
        </is>
      </c>
    </row>
    <row r="219">
      <c r="A219" t="inlineStr">
        <is>
          <t>google/gemini-2.5-flash-image</t>
        </is>
      </c>
      <c r="B219" t="inlineStr">
        <is>
          <t>Google: Nano Banana (Gemini 2.5 Flash Image)</t>
        </is>
      </c>
      <c r="D219" t="inlineStr">
        <is>
          <t>no</t>
        </is>
      </c>
      <c r="E219" t="inlineStr">
        <is>
          <t>yes</t>
        </is>
      </c>
      <c r="F219" s="10" t="n">
        <v>32768</v>
      </c>
      <c r="H219" s="11" t="n">
        <v>0.3</v>
      </c>
      <c r="I219" s="11" t="n">
        <v>2.5</v>
      </c>
      <c r="J219" s="11" t="n">
        <v>0.03</v>
      </c>
      <c r="K219" s="11" t="n">
        <v>0.0833333333333333</v>
      </c>
      <c r="L219" s="11" t="n">
        <v>3e-07</v>
      </c>
      <c r="M219" s="12">
        <f>IF(OR(H219="",I219=""),"",(Profiles!$B$4*(Profiles!$B$10*H219+Profiles!$B$9*IF(J219="",H219,J219)+Profiles!$B$11*IF(K219="",H219,K219))+Profiles!$C$4*I219)/1000000+Profiles!$D$4*IF(L219="",0,L219))</f>
        <v/>
      </c>
      <c r="N219" s="12">
        <f>IF(OR(H219="",I219=""),"",(Profiles!$B$5*(Profiles!$B$10*H219+Profiles!$B$9*IF(J219="",H219,J219)+Profiles!$B$11*IF(K219="",H219,K219))+Profiles!$C$5*I219)/1000000+Profiles!$D$5*IF(L219="",0,L219))</f>
        <v/>
      </c>
      <c r="O219" s="12">
        <f>IF(OR(H219="",I219=""),"",(Profiles!$B$6*(Profiles!$B$10*H219+Profiles!$B$9*IF(J219="",H219,J219)+Profiles!$B$11*IF(K219="",H219,K219))+Profiles!$C$6*I219)/1000000+Profiles!$D$6*IF(L219="",0,L219))</f>
        <v/>
      </c>
      <c r="P219" s="12">
        <f>IF(OR(H219="",I219=""),"",(Profiles!$B$5*(Profiles!$B$10*H219+Profiles!$B$9*H219+Profiles!$B$11*H219)+Profiles!$C$5*I219)/1000000+Profiles!$D$5*IF(L219="",0,L219))</f>
        <v/>
      </c>
      <c r="Q219" t="inlineStr">
        <is>
          <t>2025-10-07</t>
        </is>
      </c>
    </row>
    <row r="220">
      <c r="A220" t="inlineStr">
        <is>
          <t>openai/gpt-4.1-mini:batch</t>
        </is>
      </c>
      <c r="B220" t="inlineStr">
        <is>
          <t>OpenAI: GPT-4.1 Mini (batch)</t>
        </is>
      </c>
      <c r="D220" t="inlineStr">
        <is>
          <t>yes</t>
        </is>
      </c>
      <c r="E220" t="inlineStr">
        <is>
          <t>yes</t>
        </is>
      </c>
      <c r="F220" s="10" t="n">
        <v>1047576</v>
      </c>
      <c r="G220" t="inlineStr">
        <is>
          <t>batch (not interactive)</t>
        </is>
      </c>
      <c r="H220" s="11" t="n">
        <v>0.2</v>
      </c>
      <c r="I220" s="11" t="n">
        <v>0.7999999999999999</v>
      </c>
      <c r="J220" s="11" t="n">
        <v>0.05</v>
      </c>
      <c r="K220" s="11" t="n"/>
      <c r="L220" s="11" t="n"/>
      <c r="M220" s="12">
        <f>IF(OR(H220="",I220=""),"",(Profiles!$B$4*(Profiles!$B$10*H220+Profiles!$B$9*IF(J220="",H220,J220)+Profiles!$B$11*IF(K220="",H220,K220))+Profiles!$C$4*I220)/1000000+Profiles!$D$4*IF(L220="",0,L220))</f>
        <v/>
      </c>
      <c r="N220" s="12">
        <f>IF(OR(H220="",I220=""),"",(Profiles!$B$5*(Profiles!$B$10*H220+Profiles!$B$9*IF(J220="",H220,J220)+Profiles!$B$11*IF(K220="",H220,K220))+Profiles!$C$5*I220)/1000000+Profiles!$D$5*IF(L220="",0,L220))</f>
        <v/>
      </c>
      <c r="O220" s="12">
        <f>IF(OR(H220="",I220=""),"",(Profiles!$B$6*(Profiles!$B$10*H220+Profiles!$B$9*IF(J220="",H220,J220)+Profiles!$B$11*IF(K220="",H220,K220))+Profiles!$C$6*I220)/1000000+Profiles!$D$6*IF(L220="",0,L220))</f>
        <v/>
      </c>
      <c r="P220" s="12">
        <f>IF(OR(H220="",I220=""),"",(Profiles!$B$5*(Profiles!$B$10*H220+Profiles!$B$9*H220+Profiles!$B$11*H220)+Profiles!$C$5*I220)/1000000+Profiles!$D$5*IF(L220="",0,L220))</f>
        <v/>
      </c>
      <c r="Q220" t="inlineStr">
        <is>
          <t>2025-04-14</t>
        </is>
      </c>
    </row>
    <row r="221">
      <c r="A221" t="inlineStr">
        <is>
          <t>google/gemini-3.8-flash:batch</t>
        </is>
      </c>
      <c r="B221" t="inlineStr">
        <is>
          <t>Google: Gemini 3.8 Flash (batch)</t>
        </is>
      </c>
      <c r="D221" t="inlineStr">
        <is>
          <t>yes</t>
        </is>
      </c>
      <c r="E221" t="inlineStr">
        <is>
          <t>yes</t>
        </is>
      </c>
      <c r="F221" s="10" t="n">
        <v>1048576</v>
      </c>
      <c r="G221" t="inlineStr">
        <is>
          <t>batch (not interactive)</t>
        </is>
      </c>
      <c r="H221" s="11" t="n">
        <v>0.375</v>
      </c>
      <c r="I221" s="11" t="n">
        <v>1.875</v>
      </c>
      <c r="J221" s="11" t="n">
        <v>0.0375</v>
      </c>
      <c r="K221" s="11" t="n">
        <v>0.0416666666666667</v>
      </c>
      <c r="L221" s="11" t="n">
        <v>3.75e-07</v>
      </c>
      <c r="M221" s="12">
        <f>IF(OR(H221="",I221=""),"",(Profiles!$B$4*(Profiles!$B$10*H221+Profiles!$B$9*IF(J221="",H221,J221)+Profiles!$B$11*IF(K221="",H221,K221))+Profiles!$C$4*I221)/1000000+Profiles!$D$4*IF(L221="",0,L221))</f>
        <v/>
      </c>
      <c r="N221" s="12">
        <f>IF(OR(H221="",I221=""),"",(Profiles!$B$5*(Profiles!$B$10*H221+Profiles!$B$9*IF(J221="",H221,J221)+Profiles!$B$11*IF(K221="",H221,K221))+Profiles!$C$5*I221)/1000000+Profiles!$D$5*IF(L221="",0,L221))</f>
        <v/>
      </c>
      <c r="O221" s="12">
        <f>IF(OR(H221="",I221=""),"",(Profiles!$B$6*(Profiles!$B$10*H221+Profiles!$B$9*IF(J221="",H221,J221)+Profiles!$B$11*IF(K221="",H221,K221))+Profiles!$C$6*I221)/1000000+Profiles!$D$6*IF(L221="",0,L221))</f>
        <v/>
      </c>
      <c r="P221" s="12">
        <f>IF(OR(H221="",I221=""),"",(Profiles!$B$5*(Profiles!$B$10*H221+Profiles!$B$9*H221+Profiles!$B$11*H221)+Profiles!$C$5*I221)/1000000+Profiles!$D$5*IF(L221="",0,L221))</f>
        <v/>
      </c>
      <c r="Q221" t="inlineStr">
        <is>
          <t>2026-09-02</t>
        </is>
      </c>
    </row>
    <row r="222">
      <c r="A222" t="inlineStr">
        <is>
          <t>google/gemini-3.7-flash:batch</t>
        </is>
      </c>
      <c r="B222" t="inlineStr">
        <is>
          <t>Google: Gemini 3.7 Flash (batch)</t>
        </is>
      </c>
      <c r="D222" t="inlineStr">
        <is>
          <t>yes</t>
        </is>
      </c>
      <c r="E222" t="inlineStr">
        <is>
          <t>yes</t>
        </is>
      </c>
      <c r="F222" s="10" t="n">
        <v>1048576</v>
      </c>
      <c r="G222" t="inlineStr">
        <is>
          <t>batch (not interactive)</t>
        </is>
      </c>
      <c r="H222" s="11" t="n">
        <v>0.375</v>
      </c>
      <c r="I222" s="11" t="n">
        <v>1.875</v>
      </c>
      <c r="J222" s="11" t="n">
        <v>0.0375</v>
      </c>
      <c r="K222" s="11" t="n">
        <v>0.0416666666666667</v>
      </c>
      <c r="L222" s="11" t="n">
        <v>3.75e-07</v>
      </c>
      <c r="M222" s="12">
        <f>IF(OR(H222="",I222=""),"",(Profiles!$B$4*(Profiles!$B$10*H222+Profiles!$B$9*IF(J222="",H222,J222)+Profiles!$B$11*IF(K222="",H222,K222))+Profiles!$C$4*I222)/1000000+Profiles!$D$4*IF(L222="",0,L222))</f>
        <v/>
      </c>
      <c r="N222" s="12">
        <f>IF(OR(H222="",I222=""),"",(Profiles!$B$5*(Profiles!$B$10*H222+Profiles!$B$9*IF(J222="",H222,J222)+Profiles!$B$11*IF(K222="",H222,K222))+Profiles!$C$5*I222)/1000000+Profiles!$D$5*IF(L222="",0,L222))</f>
        <v/>
      </c>
      <c r="O222" s="12">
        <f>IF(OR(H222="",I222=""),"",(Profiles!$B$6*(Profiles!$B$10*H222+Profiles!$B$9*IF(J222="",H222,J222)+Profiles!$B$11*IF(K222="",H222,K222))+Profiles!$C$6*I222)/1000000+Profiles!$D$6*IF(L222="",0,L222))</f>
        <v/>
      </c>
      <c r="P222" s="12">
        <f>IF(OR(H222="",I222=""),"",(Profiles!$B$5*(Profiles!$B$10*H222+Profiles!$B$9*H222+Profiles!$B$11*H222)+Profiles!$C$5*I222)/1000000+Profiles!$D$5*IF(L222="",0,L222))</f>
        <v/>
      </c>
      <c r="Q222" t="inlineStr">
        <is>
          <t>2026-08-13</t>
        </is>
      </c>
    </row>
    <row r="223">
      <c r="A223" t="inlineStr">
        <is>
          <t>google/gemini-3.6-flash:batch</t>
        </is>
      </c>
      <c r="B223" t="inlineStr">
        <is>
          <t>Google: Gemini 3.6 Flash (batch)</t>
        </is>
      </c>
      <c r="D223" t="inlineStr">
        <is>
          <t>yes</t>
        </is>
      </c>
      <c r="E223" t="inlineStr">
        <is>
          <t>yes</t>
        </is>
      </c>
      <c r="F223" s="10" t="n">
        <v>1048576</v>
      </c>
      <c r="G223" t="inlineStr">
        <is>
          <t>batch (not interactive)</t>
        </is>
      </c>
      <c r="H223" s="11" t="n">
        <v>0.375</v>
      </c>
      <c r="I223" s="11" t="n">
        <v>1.875</v>
      </c>
      <c r="J223" s="11" t="n">
        <v>0.0375</v>
      </c>
      <c r="K223" s="11" t="n">
        <v>0.0416666666666667</v>
      </c>
      <c r="L223" s="11" t="n">
        <v>3.75e-07</v>
      </c>
      <c r="M223" s="12">
        <f>IF(OR(H223="",I223=""),"",(Profiles!$B$4*(Profiles!$B$10*H223+Profiles!$B$9*IF(J223="",H223,J223)+Profiles!$B$11*IF(K223="",H223,K223))+Profiles!$C$4*I223)/1000000+Profiles!$D$4*IF(L223="",0,L223))</f>
        <v/>
      </c>
      <c r="N223" s="12">
        <f>IF(OR(H223="",I223=""),"",(Profiles!$B$5*(Profiles!$B$10*H223+Profiles!$B$9*IF(J223="",H223,J223)+Profiles!$B$11*IF(K223="",H223,K223))+Profiles!$C$5*I223)/1000000+Profiles!$D$5*IF(L223="",0,L223))</f>
        <v/>
      </c>
      <c r="O223" s="12">
        <f>IF(OR(H223="",I223=""),"",(Profiles!$B$6*(Profiles!$B$10*H223+Profiles!$B$9*IF(J223="",H223,J223)+Profiles!$B$11*IF(K223="",H223,K223))+Profiles!$C$6*I223)/1000000+Profiles!$D$6*IF(L223="",0,L223))</f>
        <v/>
      </c>
      <c r="P223" s="12">
        <f>IF(OR(H223="",I223=""),"",(Profiles!$B$5*(Profiles!$B$10*H223+Profiles!$B$9*H223+Profiles!$B$11*H223)+Profiles!$C$5*I223)/1000000+Profiles!$D$5*IF(L223="",0,L223))</f>
        <v/>
      </c>
      <c r="Q223" t="inlineStr">
        <is>
          <t>2026-07-21</t>
        </is>
      </c>
    </row>
    <row r="224">
      <c r="A224" t="inlineStr">
        <is>
          <t>openai/gpt-5.4-mini:batch</t>
        </is>
      </c>
      <c r="B224" t="inlineStr">
        <is>
          <t>OpenAI: GPT-5.4 Mini (batch)</t>
        </is>
      </c>
      <c r="D224" t="inlineStr">
        <is>
          <t>yes</t>
        </is>
      </c>
      <c r="E224" t="inlineStr">
        <is>
          <t>yes</t>
        </is>
      </c>
      <c r="F224" s="10" t="n">
        <v>400000</v>
      </c>
      <c r="G224" t="inlineStr">
        <is>
          <t>batch (not interactive)</t>
        </is>
      </c>
      <c r="H224" s="11" t="n">
        <v>0.375</v>
      </c>
      <c r="I224" s="11" t="n">
        <v>2.25</v>
      </c>
      <c r="J224" s="11" t="n">
        <v>0.0375</v>
      </c>
      <c r="K224" s="11" t="n"/>
      <c r="L224" s="11" t="n"/>
      <c r="M224" s="12">
        <f>IF(OR(H224="",I224=""),"",(Profiles!$B$4*(Profiles!$B$10*H224+Profiles!$B$9*IF(J224="",H224,J224)+Profiles!$B$11*IF(K224="",H224,K224))+Profiles!$C$4*I224)/1000000+Profiles!$D$4*IF(L224="",0,L224))</f>
        <v/>
      </c>
      <c r="N224" s="12">
        <f>IF(OR(H224="",I224=""),"",(Profiles!$B$5*(Profiles!$B$10*H224+Profiles!$B$9*IF(J224="",H224,J224)+Profiles!$B$11*IF(K224="",H224,K224))+Profiles!$C$5*I224)/1000000+Profiles!$D$5*IF(L224="",0,L224))</f>
        <v/>
      </c>
      <c r="O224" s="12">
        <f>IF(OR(H224="",I224=""),"",(Profiles!$B$6*(Profiles!$B$10*H224+Profiles!$B$9*IF(J224="",H224,J224)+Profiles!$B$11*IF(K224="",H224,K224))+Profiles!$C$6*I224)/1000000+Profiles!$D$6*IF(L224="",0,L224))</f>
        <v/>
      </c>
      <c r="P224" s="12">
        <f>IF(OR(H224="",I224=""),"",(Profiles!$B$5*(Profiles!$B$10*H224+Profiles!$B$9*H224+Profiles!$B$11*H224)+Profiles!$C$5*I224)/1000000+Profiles!$D$5*IF(L224="",0,L224))</f>
        <v/>
      </c>
      <c r="Q224" t="inlineStr">
        <is>
          <t>2026-03-17</t>
        </is>
      </c>
    </row>
    <row r="225">
      <c r="A225" t="inlineStr">
        <is>
          <t>bytedance/ui-tars-1.5-7b</t>
        </is>
      </c>
      <c r="B225" t="inlineStr">
        <is>
          <t xml:space="preserve">ByteDance: UI-TARS 7B </t>
        </is>
      </c>
      <c r="D225" t="inlineStr">
        <is>
          <t>no</t>
        </is>
      </c>
      <c r="E225" t="inlineStr">
        <is>
          <t>yes</t>
        </is>
      </c>
      <c r="F225" s="10" t="n">
        <v>128000</v>
      </c>
      <c r="H225" s="11" t="n">
        <v>0.09999999999999999</v>
      </c>
      <c r="I225" s="11" t="n">
        <v>0.2</v>
      </c>
      <c r="J225" s="11" t="n">
        <v>0.09999999999999999</v>
      </c>
      <c r="K225" s="11" t="n"/>
      <c r="L225" s="11" t="n"/>
      <c r="M225" s="12">
        <f>IF(OR(H225="",I225=""),"",(Profiles!$B$4*(Profiles!$B$10*H225+Profiles!$B$9*IF(J225="",H225,J225)+Profiles!$B$11*IF(K225="",H225,K225))+Profiles!$C$4*I225)/1000000+Profiles!$D$4*IF(L225="",0,L225))</f>
        <v/>
      </c>
      <c r="N225" s="12">
        <f>IF(OR(H225="",I225=""),"",(Profiles!$B$5*(Profiles!$B$10*H225+Profiles!$B$9*IF(J225="",H225,J225)+Profiles!$B$11*IF(K225="",H225,K225))+Profiles!$C$5*I225)/1000000+Profiles!$D$5*IF(L225="",0,L225))</f>
        <v/>
      </c>
      <c r="O225" s="12">
        <f>IF(OR(H225="",I225=""),"",(Profiles!$B$6*(Profiles!$B$10*H225+Profiles!$B$9*IF(J225="",H225,J225)+Profiles!$B$11*IF(K225="",H225,K225))+Profiles!$C$6*I225)/1000000+Profiles!$D$6*IF(L225="",0,L225))</f>
        <v/>
      </c>
      <c r="P225" s="12">
        <f>IF(OR(H225="",I225=""),"",(Profiles!$B$5*(Profiles!$B$10*H225+Profiles!$B$9*H225+Profiles!$B$11*H225)+Profiles!$C$5*I225)/1000000+Profiles!$D$5*IF(L225="",0,L225))</f>
        <v/>
      </c>
      <c r="Q225" t="inlineStr">
        <is>
          <t>2025-07-22</t>
        </is>
      </c>
    </row>
    <row r="226">
      <c r="A226" t="inlineStr">
        <is>
          <t>anthropic/claude-haiku-4.5:batch</t>
        </is>
      </c>
      <c r="B226" t="inlineStr">
        <is>
          <t>Anthropic: Claude Haiku 4.5 (batch)</t>
        </is>
      </c>
      <c r="D226" t="inlineStr">
        <is>
          <t>yes</t>
        </is>
      </c>
      <c r="E226" t="inlineStr">
        <is>
          <t>yes</t>
        </is>
      </c>
      <c r="F226" s="10" t="n">
        <v>200000</v>
      </c>
      <c r="G226" t="inlineStr">
        <is>
          <t>batch (not interactive)</t>
        </is>
      </c>
      <c r="H226" s="11" t="n">
        <v>0.5</v>
      </c>
      <c r="I226" s="11" t="n">
        <v>2.5</v>
      </c>
      <c r="J226" s="11" t="n">
        <v>0.05</v>
      </c>
      <c r="K226" s="11" t="n">
        <v>0.625</v>
      </c>
      <c r="L226" s="11" t="n"/>
      <c r="M226" s="12">
        <f>IF(OR(H226="",I226=""),"",(Profiles!$B$4*(Profiles!$B$10*H226+Profiles!$B$9*IF(J226="",H226,J226)+Profiles!$B$11*IF(K226="",H226,K226))+Profiles!$C$4*I226)/1000000+Profiles!$D$4*IF(L226="",0,L226))</f>
        <v/>
      </c>
      <c r="N226" s="12">
        <f>IF(OR(H226="",I226=""),"",(Profiles!$B$5*(Profiles!$B$10*H226+Profiles!$B$9*IF(J226="",H226,J226)+Profiles!$B$11*IF(K226="",H226,K226))+Profiles!$C$5*I226)/1000000+Profiles!$D$5*IF(L226="",0,L226))</f>
        <v/>
      </c>
      <c r="O226" s="12">
        <f>IF(OR(H226="",I226=""),"",(Profiles!$B$6*(Profiles!$B$10*H226+Profiles!$B$9*IF(J226="",H226,J226)+Profiles!$B$11*IF(K226="",H226,K226))+Profiles!$C$6*I226)/1000000+Profiles!$D$6*IF(L226="",0,L226))</f>
        <v/>
      </c>
      <c r="P226" s="12">
        <f>IF(OR(H226="",I226=""),"",(Profiles!$B$5*(Profiles!$B$10*H226+Profiles!$B$9*H226+Profiles!$B$11*H226)+Profiles!$C$5*I226)/1000000+Profiles!$D$5*IF(L226="",0,L226))</f>
        <v/>
      </c>
      <c r="Q226" t="inlineStr">
        <is>
          <t>2025-10-15</t>
        </is>
      </c>
    </row>
    <row r="227">
      <c r="A227" t="inlineStr">
        <is>
          <t>openai/gpt-5.1:batch</t>
        </is>
      </c>
      <c r="B227" t="inlineStr">
        <is>
          <t>OpenAI: GPT-5.1 (batch)</t>
        </is>
      </c>
      <c r="D227" t="inlineStr">
        <is>
          <t>yes</t>
        </is>
      </c>
      <c r="E227" t="inlineStr">
        <is>
          <t>yes</t>
        </is>
      </c>
      <c r="F227" s="10" t="n">
        <v>400000</v>
      </c>
      <c r="G227" t="inlineStr">
        <is>
          <t>batch (not interactive)</t>
        </is>
      </c>
      <c r="H227" s="11" t="n">
        <v>0.625</v>
      </c>
      <c r="I227" s="11" t="n">
        <v>5</v>
      </c>
      <c r="J227" s="11" t="n">
        <v>0.0625</v>
      </c>
      <c r="K227" s="11" t="n"/>
      <c r="L227" s="11" t="n"/>
      <c r="M227" s="12">
        <f>IF(OR(H227="",I227=""),"",(Profiles!$B$4*(Profiles!$B$10*H227+Profiles!$B$9*IF(J227="",H227,J227)+Profiles!$B$11*IF(K227="",H227,K227))+Profiles!$C$4*I227)/1000000+Profiles!$D$4*IF(L227="",0,L227))</f>
        <v/>
      </c>
      <c r="N227" s="12">
        <f>IF(OR(H227="",I227=""),"",(Profiles!$B$5*(Profiles!$B$10*H227+Profiles!$B$9*IF(J227="",H227,J227)+Profiles!$B$11*IF(K227="",H227,K227))+Profiles!$C$5*I227)/1000000+Profiles!$D$5*IF(L227="",0,L227))</f>
        <v/>
      </c>
      <c r="O227" s="12">
        <f>IF(OR(H227="",I227=""),"",(Profiles!$B$6*(Profiles!$B$10*H227+Profiles!$B$9*IF(J227="",H227,J227)+Profiles!$B$11*IF(K227="",H227,K227))+Profiles!$C$6*I227)/1000000+Profiles!$D$6*IF(L227="",0,L227))</f>
        <v/>
      </c>
      <c r="P227" s="12">
        <f>IF(OR(H227="",I227=""),"",(Profiles!$B$5*(Profiles!$B$10*H227+Profiles!$B$9*H227+Profiles!$B$11*H227)+Profiles!$C$5*I227)/1000000+Profiles!$D$5*IF(L227="",0,L227))</f>
        <v/>
      </c>
      <c r="Q227" t="inlineStr">
        <is>
          <t>2025-11-13</t>
        </is>
      </c>
    </row>
    <row r="228">
      <c r="A228" t="inlineStr">
        <is>
          <t>openai/gpt-5:batch</t>
        </is>
      </c>
      <c r="B228" t="inlineStr">
        <is>
          <t>OpenAI: GPT-5 (batch)</t>
        </is>
      </c>
      <c r="D228" t="inlineStr">
        <is>
          <t>yes</t>
        </is>
      </c>
      <c r="E228" t="inlineStr">
        <is>
          <t>yes</t>
        </is>
      </c>
      <c r="F228" s="10" t="n">
        <v>400000</v>
      </c>
      <c r="G228" t="inlineStr">
        <is>
          <t>batch (not interactive)</t>
        </is>
      </c>
      <c r="H228" s="11" t="n">
        <v>0.625</v>
      </c>
      <c r="I228" s="11" t="n">
        <v>5</v>
      </c>
      <c r="J228" s="11" t="n">
        <v>0.0625</v>
      </c>
      <c r="K228" s="11" t="n"/>
      <c r="L228" s="11" t="n"/>
      <c r="M228" s="12">
        <f>IF(OR(H228="",I228=""),"",(Profiles!$B$4*(Profiles!$B$10*H228+Profiles!$B$9*IF(J228="",H228,J228)+Profiles!$B$11*IF(K228="",H228,K228))+Profiles!$C$4*I228)/1000000+Profiles!$D$4*IF(L228="",0,L228))</f>
        <v/>
      </c>
      <c r="N228" s="12">
        <f>IF(OR(H228="",I228=""),"",(Profiles!$B$5*(Profiles!$B$10*H228+Profiles!$B$9*IF(J228="",H228,J228)+Profiles!$B$11*IF(K228="",H228,K228))+Profiles!$C$5*I228)/1000000+Profiles!$D$5*IF(L228="",0,L228))</f>
        <v/>
      </c>
      <c r="O228" s="12">
        <f>IF(OR(H228="",I228=""),"",(Profiles!$B$6*(Profiles!$B$10*H228+Profiles!$B$9*IF(J228="",H228,J228)+Profiles!$B$11*IF(K228="",H228,K228))+Profiles!$C$6*I228)/1000000+Profiles!$D$6*IF(L228="",0,L228))</f>
        <v/>
      </c>
      <c r="P228" s="12">
        <f>IF(OR(H228="",I228=""),"",(Profiles!$B$5*(Profiles!$B$10*H228+Profiles!$B$9*H228+Profiles!$B$11*H228)+Profiles!$C$5*I228)/1000000+Profiles!$D$5*IF(L228="",0,L228))</f>
        <v/>
      </c>
      <c r="Q228" t="inlineStr">
        <is>
          <t>2025-08-07</t>
        </is>
      </c>
    </row>
    <row r="229">
      <c r="A229" t="inlineStr">
        <is>
          <t>perceptron/perceptron-mk1</t>
        </is>
      </c>
      <c r="B229" t="inlineStr">
        <is>
          <t>Perceptron: Perceptron Mk1</t>
        </is>
      </c>
      <c r="D229" t="inlineStr">
        <is>
          <t>no</t>
        </is>
      </c>
      <c r="E229" t="inlineStr">
        <is>
          <t>yes</t>
        </is>
      </c>
      <c r="F229" s="10" t="n">
        <v>32768</v>
      </c>
      <c r="H229" s="11" t="n">
        <v>0.15</v>
      </c>
      <c r="I229" s="11" t="n">
        <v>1.5</v>
      </c>
      <c r="J229" s="11" t="n"/>
      <c r="K229" s="11" t="n"/>
      <c r="L229" s="11" t="n"/>
      <c r="M229" s="12">
        <f>IF(OR(H229="",I229=""),"",(Profiles!$B$4*(Profiles!$B$10*H229+Profiles!$B$9*IF(J229="",H229,J229)+Profiles!$B$11*IF(K229="",H229,K229))+Profiles!$C$4*I229)/1000000+Profiles!$D$4*IF(L229="",0,L229))</f>
        <v/>
      </c>
      <c r="N229" s="12">
        <f>IF(OR(H229="",I229=""),"",(Profiles!$B$5*(Profiles!$B$10*H229+Profiles!$B$9*IF(J229="",H229,J229)+Profiles!$B$11*IF(K229="",H229,K229))+Profiles!$C$5*I229)/1000000+Profiles!$D$5*IF(L229="",0,L229))</f>
        <v/>
      </c>
      <c r="O229" s="12">
        <f>IF(OR(H229="",I229=""),"",(Profiles!$B$6*(Profiles!$B$10*H229+Profiles!$B$9*IF(J229="",H229,J229)+Profiles!$B$11*IF(K229="",H229,K229))+Profiles!$C$6*I229)/1000000+Profiles!$D$6*IF(L229="",0,L229))</f>
        <v/>
      </c>
      <c r="P229" s="12">
        <f>IF(OR(H229="",I229=""),"",(Profiles!$B$5*(Profiles!$B$10*H229+Profiles!$B$9*H229+Profiles!$B$11*H229)+Profiles!$C$5*I229)/1000000+Profiles!$D$5*IF(L229="",0,L229))</f>
        <v/>
      </c>
      <c r="Q229" t="inlineStr">
        <is>
          <t>2026-05-12</t>
        </is>
      </c>
    </row>
    <row r="230">
      <c r="A230" t="inlineStr">
        <is>
          <t>google/gemini-3.5-flash:batch</t>
        </is>
      </c>
      <c r="B230" t="inlineStr">
        <is>
          <t>Google: Gemini 3.5 Flash (batch)</t>
        </is>
      </c>
      <c r="D230" t="inlineStr">
        <is>
          <t>yes</t>
        </is>
      </c>
      <c r="E230" t="inlineStr">
        <is>
          <t>yes</t>
        </is>
      </c>
      <c r="F230" s="10" t="n">
        <v>1048576</v>
      </c>
      <c r="G230" t="inlineStr">
        <is>
          <t>batch (not interactive)</t>
        </is>
      </c>
      <c r="H230" s="11" t="n">
        <v>0.75</v>
      </c>
      <c r="I230" s="11" t="n">
        <v>4.5</v>
      </c>
      <c r="J230" s="11" t="n">
        <v>0.075</v>
      </c>
      <c r="K230" s="11" t="n"/>
      <c r="L230" s="11" t="n">
        <v>7.5e-07</v>
      </c>
      <c r="M230" s="12">
        <f>IF(OR(H230="",I230=""),"",(Profiles!$B$4*(Profiles!$B$10*H230+Profiles!$B$9*IF(J230="",H230,J230)+Profiles!$B$11*IF(K230="",H230,K230))+Profiles!$C$4*I230)/1000000+Profiles!$D$4*IF(L230="",0,L230))</f>
        <v/>
      </c>
      <c r="N230" s="12">
        <f>IF(OR(H230="",I230=""),"",(Profiles!$B$5*(Profiles!$B$10*H230+Profiles!$B$9*IF(J230="",H230,J230)+Profiles!$B$11*IF(K230="",H230,K230))+Profiles!$C$5*I230)/1000000+Profiles!$D$5*IF(L230="",0,L230))</f>
        <v/>
      </c>
      <c r="O230" s="12">
        <f>IF(OR(H230="",I230=""),"",(Profiles!$B$6*(Profiles!$B$10*H230+Profiles!$B$9*IF(J230="",H230,J230)+Profiles!$B$11*IF(K230="",H230,K230))+Profiles!$C$6*I230)/1000000+Profiles!$D$6*IF(L230="",0,L230))</f>
        <v/>
      </c>
      <c r="P230" s="12">
        <f>IF(OR(H230="",I230=""),"",(Profiles!$B$5*(Profiles!$B$10*H230+Profiles!$B$9*H230+Profiles!$B$11*H230)+Profiles!$C$5*I230)/1000000+Profiles!$D$5*IF(L230="",0,L230))</f>
        <v/>
      </c>
      <c r="Q230" t="inlineStr">
        <is>
          <t>2026-05-19</t>
        </is>
      </c>
    </row>
    <row r="231">
      <c r="A231" t="inlineStr">
        <is>
          <t>meta-llama/llama-guard-4-12b</t>
        </is>
      </c>
      <c r="B231" t="inlineStr">
        <is>
          <t>Meta: Llama Guard 4 12B</t>
        </is>
      </c>
      <c r="D231" t="inlineStr">
        <is>
          <t>no</t>
        </is>
      </c>
      <c r="E231" t="inlineStr">
        <is>
          <t>yes</t>
        </is>
      </c>
      <c r="F231" s="10" t="n">
        <v>163840</v>
      </c>
      <c r="H231" s="11" t="n">
        <v>0.18</v>
      </c>
      <c r="I231" s="11" t="n">
        <v>0.18</v>
      </c>
      <c r="J231" s="11" t="n"/>
      <c r="K231" s="11" t="n"/>
      <c r="L231" s="11" t="n"/>
      <c r="M231" s="12">
        <f>IF(OR(H231="",I231=""),"",(Profiles!$B$4*(Profiles!$B$10*H231+Profiles!$B$9*IF(J231="",H231,J231)+Profiles!$B$11*IF(K231="",H231,K231))+Profiles!$C$4*I231)/1000000+Profiles!$D$4*IF(L231="",0,L231))</f>
        <v/>
      </c>
      <c r="N231" s="12">
        <f>IF(OR(H231="",I231=""),"",(Profiles!$B$5*(Profiles!$B$10*H231+Profiles!$B$9*IF(J231="",H231,J231)+Profiles!$B$11*IF(K231="",H231,K231))+Profiles!$C$5*I231)/1000000+Profiles!$D$5*IF(L231="",0,L231))</f>
        <v/>
      </c>
      <c r="O231" s="12">
        <f>IF(OR(H231="",I231=""),"",(Profiles!$B$6*(Profiles!$B$10*H231+Profiles!$B$9*IF(J231="",H231,J231)+Profiles!$B$11*IF(K231="",H231,K231))+Profiles!$C$6*I231)/1000000+Profiles!$D$6*IF(L231="",0,L231))</f>
        <v/>
      </c>
      <c r="P231" s="12">
        <f>IF(OR(H231="",I231=""),"",(Profiles!$B$5*(Profiles!$B$10*H231+Profiles!$B$9*H231+Profiles!$B$11*H231)+Profiles!$C$5*I231)/1000000+Profiles!$D$5*IF(L231="",0,L231))</f>
        <v/>
      </c>
      <c r="Q231" t="inlineStr">
        <is>
          <t>2025-04-30</t>
        </is>
      </c>
    </row>
    <row r="232">
      <c r="A232" t="inlineStr">
        <is>
          <t>openai/o4-mini:batch</t>
        </is>
      </c>
      <c r="B232" t="inlineStr">
        <is>
          <t>OpenAI: o4 Mini (batch)</t>
        </is>
      </c>
      <c r="D232" t="inlineStr">
        <is>
          <t>yes</t>
        </is>
      </c>
      <c r="E232" t="inlineStr">
        <is>
          <t>yes</t>
        </is>
      </c>
      <c r="F232" s="10" t="n">
        <v>200000</v>
      </c>
      <c r="G232" t="inlineStr">
        <is>
          <t>batch (not interactive)</t>
        </is>
      </c>
      <c r="H232" s="11" t="n">
        <v>0.55</v>
      </c>
      <c r="I232" s="11" t="n">
        <v>2.2</v>
      </c>
      <c r="J232" s="11" t="n">
        <v>0.1375</v>
      </c>
      <c r="K232" s="11" t="n"/>
      <c r="L232" s="11" t="n"/>
      <c r="M232" s="12">
        <f>IF(OR(H232="",I232=""),"",(Profiles!$B$4*(Profiles!$B$10*H232+Profiles!$B$9*IF(J232="",H232,J232)+Profiles!$B$11*IF(K232="",H232,K232))+Profiles!$C$4*I232)/1000000+Profiles!$D$4*IF(L232="",0,L232))</f>
        <v/>
      </c>
      <c r="N232" s="12">
        <f>IF(OR(H232="",I232=""),"",(Profiles!$B$5*(Profiles!$B$10*H232+Profiles!$B$9*IF(J232="",H232,J232)+Profiles!$B$11*IF(K232="",H232,K232))+Profiles!$C$5*I232)/1000000+Profiles!$D$5*IF(L232="",0,L232))</f>
        <v/>
      </c>
      <c r="O232" s="12">
        <f>IF(OR(H232="",I232=""),"",(Profiles!$B$6*(Profiles!$B$10*H232+Profiles!$B$9*IF(J232="",H232,J232)+Profiles!$B$11*IF(K232="",H232,K232))+Profiles!$C$6*I232)/1000000+Profiles!$D$6*IF(L232="",0,L232))</f>
        <v/>
      </c>
      <c r="P232" s="12">
        <f>IF(OR(H232="",I232=""),"",(Profiles!$B$5*(Profiles!$B$10*H232+Profiles!$B$9*H232+Profiles!$B$11*H232)+Profiles!$C$5*I232)/1000000+Profiles!$D$5*IF(L232="",0,L232))</f>
        <v/>
      </c>
      <c r="Q232" t="inlineStr">
        <is>
          <t>2025-04-16</t>
        </is>
      </c>
    </row>
    <row r="233">
      <c r="A233" t="inlineStr">
        <is>
          <t>nvidia/nemotron-3.5-content-safety</t>
        </is>
      </c>
      <c r="B233" t="inlineStr">
        <is>
          <t>NVIDIA: Nemotron 3.5 Content Safety</t>
        </is>
      </c>
      <c r="D233" t="inlineStr">
        <is>
          <t>no</t>
        </is>
      </c>
      <c r="E233" t="inlineStr">
        <is>
          <t>yes</t>
        </is>
      </c>
      <c r="F233" s="10" t="n">
        <v>131072</v>
      </c>
      <c r="H233" s="11" t="n">
        <v>0.2</v>
      </c>
      <c r="I233" s="11" t="n">
        <v>0.2</v>
      </c>
      <c r="J233" s="11" t="n"/>
      <c r="K233" s="11" t="n"/>
      <c r="L233" s="11" t="n"/>
      <c r="M233" s="12">
        <f>IF(OR(H233="",I233=""),"",(Profiles!$B$4*(Profiles!$B$10*H233+Profiles!$B$9*IF(J233="",H233,J233)+Profiles!$B$11*IF(K233="",H233,K233))+Profiles!$C$4*I233)/1000000+Profiles!$D$4*IF(L233="",0,L233))</f>
        <v/>
      </c>
      <c r="N233" s="12">
        <f>IF(OR(H233="",I233=""),"",(Profiles!$B$5*(Profiles!$B$10*H233+Profiles!$B$9*IF(J233="",H233,J233)+Profiles!$B$11*IF(K233="",H233,K233))+Profiles!$C$5*I233)/1000000+Profiles!$D$5*IF(L233="",0,L233))</f>
        <v/>
      </c>
      <c r="O233" s="12">
        <f>IF(OR(H233="",I233=""),"",(Profiles!$B$6*(Profiles!$B$10*H233+Profiles!$B$9*IF(J233="",H233,J233)+Profiles!$B$11*IF(K233="",H233,K233))+Profiles!$C$6*I233)/1000000+Profiles!$D$6*IF(L233="",0,L233))</f>
        <v/>
      </c>
      <c r="P233" s="12">
        <f>IF(OR(H233="",I233=""),"",(Profiles!$B$5*(Profiles!$B$10*H233+Profiles!$B$9*H233+Profiles!$B$11*H233)+Profiles!$C$5*I233)/1000000+Profiles!$D$5*IF(L233="",0,L233))</f>
        <v/>
      </c>
      <c r="Q233" t="inlineStr">
        <is>
          <t>2026-06-04</t>
        </is>
      </c>
    </row>
    <row r="234">
      <c r="A234" t="inlineStr">
        <is>
          <t>minimax/minimax-01</t>
        </is>
      </c>
      <c r="B234" t="inlineStr">
        <is>
          <t>MiniMax: MiniMax-01</t>
        </is>
      </c>
      <c r="D234" t="inlineStr">
        <is>
          <t>no</t>
        </is>
      </c>
      <c r="E234" t="inlineStr">
        <is>
          <t>yes</t>
        </is>
      </c>
      <c r="F234" s="10" t="n">
        <v>1000192</v>
      </c>
      <c r="H234" s="11" t="n">
        <v>0.2</v>
      </c>
      <c r="I234" s="11" t="n">
        <v>1.1</v>
      </c>
      <c r="J234" s="11" t="n"/>
      <c r="K234" s="11" t="n"/>
      <c r="L234" s="11" t="n"/>
      <c r="M234" s="12">
        <f>IF(OR(H234="",I234=""),"",(Profiles!$B$4*(Profiles!$B$10*H234+Profiles!$B$9*IF(J234="",H234,J234)+Profiles!$B$11*IF(K234="",H234,K234))+Profiles!$C$4*I234)/1000000+Profiles!$D$4*IF(L234="",0,L234))</f>
        <v/>
      </c>
      <c r="N234" s="12">
        <f>IF(OR(H234="",I234=""),"",(Profiles!$B$5*(Profiles!$B$10*H234+Profiles!$B$9*IF(J234="",H234,J234)+Profiles!$B$11*IF(K234="",H234,K234))+Profiles!$C$5*I234)/1000000+Profiles!$D$5*IF(L234="",0,L234))</f>
        <v/>
      </c>
      <c r="O234" s="12">
        <f>IF(OR(H234="",I234=""),"",(Profiles!$B$6*(Profiles!$B$10*H234+Profiles!$B$9*IF(J234="",H234,J234)+Profiles!$B$11*IF(K234="",H234,K234))+Profiles!$C$6*I234)/1000000+Profiles!$D$6*IF(L234="",0,L234))</f>
        <v/>
      </c>
      <c r="P234" s="12">
        <f>IF(OR(H234="",I234=""),"",(Profiles!$B$5*(Profiles!$B$10*H234+Profiles!$B$9*H234+Profiles!$B$11*H234)+Profiles!$C$5*I234)/1000000+Profiles!$D$5*IF(L234="",0,L234))</f>
        <v/>
      </c>
      <c r="Q234" t="inlineStr">
        <is>
          <t>2025-01-15</t>
        </is>
      </c>
    </row>
    <row r="235">
      <c r="A235" t="inlineStr">
        <is>
          <t>google/gemini-2.5-pro:batch</t>
        </is>
      </c>
      <c r="B235" t="inlineStr">
        <is>
          <t>Google: Gemini 2.5 Pro (batch)</t>
        </is>
      </c>
      <c r="D235" t="inlineStr">
        <is>
          <t>yes</t>
        </is>
      </c>
      <c r="E235" t="inlineStr">
        <is>
          <t>yes</t>
        </is>
      </c>
      <c r="F235" s="10" t="n">
        <v>1048576</v>
      </c>
      <c r="G235" t="inlineStr">
        <is>
          <t>batch (not interactive)</t>
        </is>
      </c>
      <c r="H235" s="11" t="n">
        <v>0.625</v>
      </c>
      <c r="I235" s="11" t="n">
        <v>5</v>
      </c>
      <c r="J235" s="11" t="n">
        <v>0.125</v>
      </c>
      <c r="K235" s="11" t="n"/>
      <c r="L235" s="11" t="n">
        <v>6.250000000000001e-07</v>
      </c>
      <c r="M235" s="12">
        <f>IF(OR(H235="",I235=""),"",(Profiles!$B$4*(Profiles!$B$10*H235+Profiles!$B$9*IF(J235="",H235,J235)+Profiles!$B$11*IF(K235="",H235,K235))+Profiles!$C$4*I235)/1000000+Profiles!$D$4*IF(L235="",0,L235))</f>
        <v/>
      </c>
      <c r="N235" s="12">
        <f>IF(OR(H235="",I235=""),"",(Profiles!$B$5*(Profiles!$B$10*H235+Profiles!$B$9*IF(J235="",H235,J235)+Profiles!$B$11*IF(K235="",H235,K235))+Profiles!$C$5*I235)/1000000+Profiles!$D$5*IF(L235="",0,L235))</f>
        <v/>
      </c>
      <c r="O235" s="12">
        <f>IF(OR(H235="",I235=""),"",(Profiles!$B$6*(Profiles!$B$10*H235+Profiles!$B$9*IF(J235="",H235,J235)+Profiles!$B$11*IF(K235="",H235,K235))+Profiles!$C$6*I235)/1000000+Profiles!$D$6*IF(L235="",0,L235))</f>
        <v/>
      </c>
      <c r="P235" s="12">
        <f>IF(OR(H235="",I235=""),"",(Profiles!$B$5*(Profiles!$B$10*H235+Profiles!$B$9*H235+Profiles!$B$11*H235)+Profiles!$C$5*I235)/1000000+Profiles!$D$5*IF(L235="",0,L235))</f>
        <v/>
      </c>
      <c r="Q235" t="inlineStr">
        <is>
          <t>2025-06-17</t>
        </is>
      </c>
      <c r="R235" t="inlineStr">
        <is>
          <t>2026-10-20</t>
        </is>
      </c>
    </row>
    <row r="236">
      <c r="A236" t="inlineStr">
        <is>
          <t>openai/gpt-5.2:batch</t>
        </is>
      </c>
      <c r="B236" t="inlineStr">
        <is>
          <t>OpenAI: GPT-5.2 (batch)</t>
        </is>
      </c>
      <c r="D236" t="inlineStr">
        <is>
          <t>yes</t>
        </is>
      </c>
      <c r="E236" t="inlineStr">
        <is>
          <t>yes</t>
        </is>
      </c>
      <c r="F236" s="10" t="n">
        <v>400000</v>
      </c>
      <c r="G236" t="inlineStr">
        <is>
          <t>batch (not interactive)</t>
        </is>
      </c>
      <c r="H236" s="11" t="n">
        <v>0.875</v>
      </c>
      <c r="I236" s="11" t="n">
        <v>7</v>
      </c>
      <c r="J236" s="11" t="n">
        <v>0.08749999999999999</v>
      </c>
      <c r="K236" s="11" t="n"/>
      <c r="L236" s="11" t="n"/>
      <c r="M236" s="12">
        <f>IF(OR(H236="",I236=""),"",(Profiles!$B$4*(Profiles!$B$10*H236+Profiles!$B$9*IF(J236="",H236,J236)+Profiles!$B$11*IF(K236="",H236,K236))+Profiles!$C$4*I236)/1000000+Profiles!$D$4*IF(L236="",0,L236))</f>
        <v/>
      </c>
      <c r="N236" s="12">
        <f>IF(OR(H236="",I236=""),"",(Profiles!$B$5*(Profiles!$B$10*H236+Profiles!$B$9*IF(J236="",H236,J236)+Profiles!$B$11*IF(K236="",H236,K236))+Profiles!$C$5*I236)/1000000+Profiles!$D$5*IF(L236="",0,L236))</f>
        <v/>
      </c>
      <c r="O236" s="12">
        <f>IF(OR(H236="",I236=""),"",(Profiles!$B$6*(Profiles!$B$10*H236+Profiles!$B$9*IF(J236="",H236,J236)+Profiles!$B$11*IF(K236="",H236,K236))+Profiles!$C$6*I236)/1000000+Profiles!$D$6*IF(L236="",0,L236))</f>
        <v/>
      </c>
      <c r="P236" s="12">
        <f>IF(OR(H236="",I236=""),"",(Profiles!$B$5*(Profiles!$B$10*H236+Profiles!$B$9*H236+Profiles!$B$11*H236)+Profiles!$C$5*I236)/1000000+Profiles!$D$5*IF(L236="",0,L236))</f>
        <v/>
      </c>
      <c r="Q236" t="inlineStr">
        <is>
          <t>2025-12-10</t>
        </is>
      </c>
    </row>
    <row r="237">
      <c r="A237" t="inlineStr">
        <is>
          <t>openai/gpt-5.6-terra-pro:batch</t>
        </is>
      </c>
      <c r="B237" t="inlineStr">
        <is>
          <t>OpenAI: GPT-5.6 Terra Pro (batch)</t>
        </is>
      </c>
      <c r="D237" t="inlineStr">
        <is>
          <t>yes</t>
        </is>
      </c>
      <c r="E237" t="inlineStr">
        <is>
          <t>yes</t>
        </is>
      </c>
      <c r="F237" s="10" t="n">
        <v>1050000</v>
      </c>
      <c r="G237" t="inlineStr">
        <is>
          <t>batch (not interactive)</t>
        </is>
      </c>
      <c r="H237" s="11" t="n">
        <v>1</v>
      </c>
      <c r="I237" s="11" t="n">
        <v>6</v>
      </c>
      <c r="J237" s="11" t="n">
        <v>0.09999999999999999</v>
      </c>
      <c r="K237" s="11" t="n"/>
      <c r="L237" s="11" t="n"/>
      <c r="M237" s="12">
        <f>IF(OR(H237="",I237=""),"",(Profiles!$B$4*(Profiles!$B$10*H237+Profiles!$B$9*IF(J237="",H237,J237)+Profiles!$B$11*IF(K237="",H237,K237))+Profiles!$C$4*I237)/1000000+Profiles!$D$4*IF(L237="",0,L237))</f>
        <v/>
      </c>
      <c r="N237" s="12">
        <f>IF(OR(H237="",I237=""),"",(Profiles!$B$5*(Profiles!$B$10*H237+Profiles!$B$9*IF(J237="",H237,J237)+Profiles!$B$11*IF(K237="",H237,K237))+Profiles!$C$5*I237)/1000000+Profiles!$D$5*IF(L237="",0,L237))</f>
        <v/>
      </c>
      <c r="O237" s="12">
        <f>IF(OR(H237="",I237=""),"",(Profiles!$B$6*(Profiles!$B$10*H237+Profiles!$B$9*IF(J237="",H237,J237)+Profiles!$B$11*IF(K237="",H237,K237))+Profiles!$C$6*I237)/1000000+Profiles!$D$6*IF(L237="",0,L237))</f>
        <v/>
      </c>
      <c r="P237" s="12">
        <f>IF(OR(H237="",I237=""),"",(Profiles!$B$5*(Profiles!$B$10*H237+Profiles!$B$9*H237+Profiles!$B$11*H237)+Profiles!$C$5*I237)/1000000+Profiles!$D$5*IF(L237="",0,L237))</f>
        <v/>
      </c>
      <c r="Q237" t="inlineStr">
        <is>
          <t>2026-07-09</t>
        </is>
      </c>
    </row>
    <row r="238">
      <c r="A238" t="inlineStr">
        <is>
          <t>openai/gpt-5.6-terra:batch</t>
        </is>
      </c>
      <c r="B238" t="inlineStr">
        <is>
          <t>OpenAI: GPT-5.6 Terra (batch)</t>
        </is>
      </c>
      <c r="D238" t="inlineStr">
        <is>
          <t>yes</t>
        </is>
      </c>
      <c r="E238" t="inlineStr">
        <is>
          <t>yes</t>
        </is>
      </c>
      <c r="F238" s="10" t="n">
        <v>1050000</v>
      </c>
      <c r="G238" t="inlineStr">
        <is>
          <t>batch (not interactive)</t>
        </is>
      </c>
      <c r="H238" s="11" t="n">
        <v>1</v>
      </c>
      <c r="I238" s="11" t="n">
        <v>6</v>
      </c>
      <c r="J238" s="11" t="n">
        <v>0.09999999999999999</v>
      </c>
      <c r="K238" s="11" t="n"/>
      <c r="L238" s="11" t="n"/>
      <c r="M238" s="12">
        <f>IF(OR(H238="",I238=""),"",(Profiles!$B$4*(Profiles!$B$10*H238+Profiles!$B$9*IF(J238="",H238,J238)+Profiles!$B$11*IF(K238="",H238,K238))+Profiles!$C$4*I238)/1000000+Profiles!$D$4*IF(L238="",0,L238))</f>
        <v/>
      </c>
      <c r="N238" s="12">
        <f>IF(OR(H238="",I238=""),"",(Profiles!$B$5*(Profiles!$B$10*H238+Profiles!$B$9*IF(J238="",H238,J238)+Profiles!$B$11*IF(K238="",H238,K238))+Profiles!$C$5*I238)/1000000+Profiles!$D$5*IF(L238="",0,L238))</f>
        <v/>
      </c>
      <c r="O238" s="12">
        <f>IF(OR(H238="",I238=""),"",(Profiles!$B$6*(Profiles!$B$10*H238+Profiles!$B$9*IF(J238="",H238,J238)+Profiles!$B$11*IF(K238="",H238,K238))+Profiles!$C$6*I238)/1000000+Profiles!$D$6*IF(L238="",0,L238))</f>
        <v/>
      </c>
      <c r="P238" s="12">
        <f>IF(OR(H238="",I238=""),"",(Profiles!$B$5*(Profiles!$B$10*H238+Profiles!$B$9*H238+Profiles!$B$11*H238)+Profiles!$C$5*I238)/1000000+Profiles!$D$5*IF(L238="",0,L238))</f>
        <v/>
      </c>
      <c r="Q238" t="inlineStr">
        <is>
          <t>2026-07-09</t>
        </is>
      </c>
    </row>
    <row r="239">
      <c r="A239" t="inlineStr">
        <is>
          <t>openai/gpt-6-sol-pro:batch</t>
        </is>
      </c>
      <c r="B239" t="inlineStr">
        <is>
          <t>OpenAI: GPT-6 Sol Pro (batch)</t>
        </is>
      </c>
      <c r="D239" t="inlineStr">
        <is>
          <t>yes</t>
        </is>
      </c>
      <c r="E239" t="inlineStr">
        <is>
          <t>yes</t>
        </is>
      </c>
      <c r="F239" s="10" t="n">
        <v>1050000</v>
      </c>
      <c r="G239" t="inlineStr">
        <is>
          <t>batch (not interactive)</t>
        </is>
      </c>
      <c r="H239" s="11" t="n">
        <v>1</v>
      </c>
      <c r="I239" s="11" t="n">
        <v>5</v>
      </c>
      <c r="J239" s="11" t="n">
        <v>0.09999999999999999</v>
      </c>
      <c r="K239" s="11" t="n">
        <v>1.25</v>
      </c>
      <c r="L239" s="11" t="n"/>
      <c r="M239" s="12">
        <f>IF(OR(H239="",I239=""),"",(Profiles!$B$4*(Profiles!$B$10*H239+Profiles!$B$9*IF(J239="",H239,J239)+Profiles!$B$11*IF(K239="",H239,K239))+Profiles!$C$4*I239)/1000000+Profiles!$D$4*IF(L239="",0,L239))</f>
        <v/>
      </c>
      <c r="N239" s="12">
        <f>IF(OR(H239="",I239=""),"",(Profiles!$B$5*(Profiles!$B$10*H239+Profiles!$B$9*IF(J239="",H239,J239)+Profiles!$B$11*IF(K239="",H239,K239))+Profiles!$C$5*I239)/1000000+Profiles!$D$5*IF(L239="",0,L239))</f>
        <v/>
      </c>
      <c r="O239" s="12">
        <f>IF(OR(H239="",I239=""),"",(Profiles!$B$6*(Profiles!$B$10*H239+Profiles!$B$9*IF(J239="",H239,J239)+Profiles!$B$11*IF(K239="",H239,K239))+Profiles!$C$6*I239)/1000000+Profiles!$D$6*IF(L239="",0,L239))</f>
        <v/>
      </c>
      <c r="P239" s="12">
        <f>IF(OR(H239="",I239=""),"",(Profiles!$B$5*(Profiles!$B$10*H239+Profiles!$B$9*H239+Profiles!$B$11*H239)+Profiles!$C$5*I239)/1000000+Profiles!$D$5*IF(L239="",0,L239))</f>
        <v/>
      </c>
      <c r="Q239" t="inlineStr">
        <is>
          <t>2026-09-22</t>
        </is>
      </c>
    </row>
    <row r="240">
      <c r="A240" t="inlineStr">
        <is>
          <t>openai/gpt-6-sol:batch</t>
        </is>
      </c>
      <c r="B240" t="inlineStr">
        <is>
          <t>OpenAI: GPT-6 Sol (batch)</t>
        </is>
      </c>
      <c r="D240" t="inlineStr">
        <is>
          <t>yes</t>
        </is>
      </c>
      <c r="E240" t="inlineStr">
        <is>
          <t>yes</t>
        </is>
      </c>
      <c r="F240" s="10" t="n">
        <v>1050000</v>
      </c>
      <c r="G240" t="inlineStr">
        <is>
          <t>batch (not interactive)</t>
        </is>
      </c>
      <c r="H240" s="11" t="n">
        <v>1</v>
      </c>
      <c r="I240" s="11" t="n">
        <v>5</v>
      </c>
      <c r="J240" s="11" t="n">
        <v>0.09999999999999999</v>
      </c>
      <c r="K240" s="11" t="n">
        <v>1.25</v>
      </c>
      <c r="L240" s="11" t="n"/>
      <c r="M240" s="12">
        <f>IF(OR(H240="",I240=""),"",(Profiles!$B$4*(Profiles!$B$10*H240+Profiles!$B$9*IF(J240="",H240,J240)+Profiles!$B$11*IF(K240="",H240,K240))+Profiles!$C$4*I240)/1000000+Profiles!$D$4*IF(L240="",0,L240))</f>
        <v/>
      </c>
      <c r="N240" s="12">
        <f>IF(OR(H240="",I240=""),"",(Profiles!$B$5*(Profiles!$B$10*H240+Profiles!$B$9*IF(J240="",H240,J240)+Profiles!$B$11*IF(K240="",H240,K240))+Profiles!$C$5*I240)/1000000+Profiles!$D$5*IF(L240="",0,L240))</f>
        <v/>
      </c>
      <c r="O240" s="12">
        <f>IF(OR(H240="",I240=""),"",(Profiles!$B$6*(Profiles!$B$10*H240+Profiles!$B$9*IF(J240="",H240,J240)+Profiles!$B$11*IF(K240="",H240,K240))+Profiles!$C$6*I240)/1000000+Profiles!$D$6*IF(L240="",0,L240))</f>
        <v/>
      </c>
      <c r="P240" s="12">
        <f>IF(OR(H240="",I240=""),"",(Profiles!$B$5*(Profiles!$B$10*H240+Profiles!$B$9*H240+Profiles!$B$11*H240)+Profiles!$C$5*I240)/1000000+Profiles!$D$5*IF(L240="",0,L240))</f>
        <v/>
      </c>
      <c r="Q240" t="inlineStr">
        <is>
          <t>2026-09-22</t>
        </is>
      </c>
    </row>
    <row r="241">
      <c r="A241" t="inlineStr">
        <is>
          <t>openai/gpt-5.6-sol-pro:batch</t>
        </is>
      </c>
      <c r="B241" t="inlineStr">
        <is>
          <t>OpenAI: GPT-5.6 Sol Pro (batch)</t>
        </is>
      </c>
      <c r="D241" t="inlineStr">
        <is>
          <t>yes</t>
        </is>
      </c>
      <c r="E241" t="inlineStr">
        <is>
          <t>yes</t>
        </is>
      </c>
      <c r="F241" s="10" t="n">
        <v>1050000</v>
      </c>
      <c r="G241" t="inlineStr">
        <is>
          <t>batch (not interactive)</t>
        </is>
      </c>
      <c r="H241" s="11" t="n">
        <v>1</v>
      </c>
      <c r="I241" s="11" t="n">
        <v>5</v>
      </c>
      <c r="J241" s="11" t="n">
        <v>0.09999999999999999</v>
      </c>
      <c r="K241" s="11" t="n">
        <v>1.25</v>
      </c>
      <c r="L241" s="11" t="n"/>
      <c r="M241" s="12">
        <f>IF(OR(H241="",I241=""),"",(Profiles!$B$4*(Profiles!$B$10*H241+Profiles!$B$9*IF(J241="",H241,J241)+Profiles!$B$11*IF(K241="",H241,K241))+Profiles!$C$4*I241)/1000000+Profiles!$D$4*IF(L241="",0,L241))</f>
        <v/>
      </c>
      <c r="N241" s="12">
        <f>IF(OR(H241="",I241=""),"",(Profiles!$B$5*(Profiles!$B$10*H241+Profiles!$B$9*IF(J241="",H241,J241)+Profiles!$B$11*IF(K241="",H241,K241))+Profiles!$C$5*I241)/1000000+Profiles!$D$5*IF(L241="",0,L241))</f>
        <v/>
      </c>
      <c r="O241" s="12">
        <f>IF(OR(H241="",I241=""),"",(Profiles!$B$6*(Profiles!$B$10*H241+Profiles!$B$9*IF(J241="",H241,J241)+Profiles!$B$11*IF(K241="",H241,K241))+Profiles!$C$6*I241)/1000000+Profiles!$D$6*IF(L241="",0,L241))</f>
        <v/>
      </c>
      <c r="P241" s="12">
        <f>IF(OR(H241="",I241=""),"",(Profiles!$B$5*(Profiles!$B$10*H241+Profiles!$B$9*H241+Profiles!$B$11*H241)+Profiles!$C$5*I241)/1000000+Profiles!$D$5*IF(L241="",0,L241))</f>
        <v/>
      </c>
      <c r="Q241" t="inlineStr">
        <is>
          <t>2026-07-09</t>
        </is>
      </c>
    </row>
    <row r="242">
      <c r="A242" t="inlineStr">
        <is>
          <t>openai/gpt-5.6-sol:batch</t>
        </is>
      </c>
      <c r="B242" t="inlineStr">
        <is>
          <t>OpenAI: GPT-5.6 Sol (batch)</t>
        </is>
      </c>
      <c r="D242" t="inlineStr">
        <is>
          <t>yes</t>
        </is>
      </c>
      <c r="E242" t="inlineStr">
        <is>
          <t>yes</t>
        </is>
      </c>
      <c r="F242" s="10" t="n">
        <v>1050000</v>
      </c>
      <c r="G242" t="inlineStr">
        <is>
          <t>batch (not interactive)</t>
        </is>
      </c>
      <c r="H242" s="11" t="n">
        <v>1</v>
      </c>
      <c r="I242" s="11" t="n">
        <v>5</v>
      </c>
      <c r="J242" s="11" t="n">
        <v>0.09999999999999999</v>
      </c>
      <c r="K242" s="11" t="n">
        <v>1.25</v>
      </c>
      <c r="L242" s="11" t="n"/>
      <c r="M242" s="12">
        <f>IF(OR(H242="",I242=""),"",(Profiles!$B$4*(Profiles!$B$10*H242+Profiles!$B$9*IF(J242="",H242,J242)+Profiles!$B$11*IF(K242="",H242,K242))+Profiles!$C$4*I242)/1000000+Profiles!$D$4*IF(L242="",0,L242))</f>
        <v/>
      </c>
      <c r="N242" s="12">
        <f>IF(OR(H242="",I242=""),"",(Profiles!$B$5*(Profiles!$B$10*H242+Profiles!$B$9*IF(J242="",H242,J242)+Profiles!$B$11*IF(K242="",H242,K242))+Profiles!$C$5*I242)/1000000+Profiles!$D$5*IF(L242="",0,L242))</f>
        <v/>
      </c>
      <c r="O242" s="12">
        <f>IF(OR(H242="",I242=""),"",(Profiles!$B$6*(Profiles!$B$10*H242+Profiles!$B$9*IF(J242="",H242,J242)+Profiles!$B$11*IF(K242="",H242,K242))+Profiles!$C$6*I242)/1000000+Profiles!$D$6*IF(L242="",0,L242))</f>
        <v/>
      </c>
      <c r="P242" s="12">
        <f>IF(OR(H242="",I242=""),"",(Profiles!$B$5*(Profiles!$B$10*H242+Profiles!$B$9*H242+Profiles!$B$11*H242)+Profiles!$C$5*I242)/1000000+Profiles!$D$5*IF(L242="",0,L242))</f>
        <v/>
      </c>
      <c r="Q242" t="inlineStr">
        <is>
          <t>2026-07-09</t>
        </is>
      </c>
    </row>
    <row r="243">
      <c r="A243" t="inlineStr">
        <is>
          <t>anthropic/claude-sonnet-5:batch</t>
        </is>
      </c>
      <c r="B243" t="inlineStr">
        <is>
          <t>Anthropic: Claude Sonnet 5 (batch)</t>
        </is>
      </c>
      <c r="D243" t="inlineStr">
        <is>
          <t>yes</t>
        </is>
      </c>
      <c r="E243" t="inlineStr">
        <is>
          <t>yes</t>
        </is>
      </c>
      <c r="F243" s="10" t="n">
        <v>1000000</v>
      </c>
      <c r="G243" t="inlineStr">
        <is>
          <t>batch (not interactive)</t>
        </is>
      </c>
      <c r="H243" s="11" t="n">
        <v>1</v>
      </c>
      <c r="I243" s="11" t="n">
        <v>5</v>
      </c>
      <c r="J243" s="11" t="n">
        <v>0.09999999999999999</v>
      </c>
      <c r="K243" s="11" t="n">
        <v>1.25</v>
      </c>
      <c r="L243" s="11" t="n"/>
      <c r="M243" s="12">
        <f>IF(OR(H243="",I243=""),"",(Profiles!$B$4*(Profiles!$B$10*H243+Profiles!$B$9*IF(J243="",H243,J243)+Profiles!$B$11*IF(K243="",H243,K243))+Profiles!$C$4*I243)/1000000+Profiles!$D$4*IF(L243="",0,L243))</f>
        <v/>
      </c>
      <c r="N243" s="12">
        <f>IF(OR(H243="",I243=""),"",(Profiles!$B$5*(Profiles!$B$10*H243+Profiles!$B$9*IF(J243="",H243,J243)+Profiles!$B$11*IF(K243="",H243,K243))+Profiles!$C$5*I243)/1000000+Profiles!$D$5*IF(L243="",0,L243))</f>
        <v/>
      </c>
      <c r="O243" s="12">
        <f>IF(OR(H243="",I243=""),"",(Profiles!$B$6*(Profiles!$B$10*H243+Profiles!$B$9*IF(J243="",H243,J243)+Profiles!$B$11*IF(K243="",H243,K243))+Profiles!$C$6*I243)/1000000+Profiles!$D$6*IF(L243="",0,L243))</f>
        <v/>
      </c>
      <c r="P243" s="12">
        <f>IF(OR(H243="",I243=""),"",(Profiles!$B$5*(Profiles!$B$10*H243+Profiles!$B$9*H243+Profiles!$B$11*H243)+Profiles!$C$5*I243)/1000000+Profiles!$D$5*IF(L243="",0,L243))</f>
        <v/>
      </c>
      <c r="Q243" t="inlineStr">
        <is>
          <t>2026-06-30</t>
        </is>
      </c>
    </row>
    <row r="244">
      <c r="A244" t="inlineStr">
        <is>
          <t>google/gemini-3.1-flash-lite-image</t>
        </is>
      </c>
      <c r="B244" t="inlineStr">
        <is>
          <t>Google: Nano Banana 2 Lite (Gemini 3.1 Flash Lite Image)</t>
        </is>
      </c>
      <c r="D244" t="inlineStr">
        <is>
          <t>no</t>
        </is>
      </c>
      <c r="E244" t="inlineStr">
        <is>
          <t>yes</t>
        </is>
      </c>
      <c r="F244" s="10" t="n">
        <v>65536</v>
      </c>
      <c r="H244" s="11" t="n">
        <v>0.25</v>
      </c>
      <c r="I244" s="11" t="n">
        <v>1.5</v>
      </c>
      <c r="J244" s="11" t="n"/>
      <c r="K244" s="11" t="n"/>
      <c r="L244" s="11" t="n"/>
      <c r="M244" s="12">
        <f>IF(OR(H244="",I244=""),"",(Profiles!$B$4*(Profiles!$B$10*H244+Profiles!$B$9*IF(J244="",H244,J244)+Profiles!$B$11*IF(K244="",H244,K244))+Profiles!$C$4*I244)/1000000+Profiles!$D$4*IF(L244="",0,L244))</f>
        <v/>
      </c>
      <c r="N244" s="12">
        <f>IF(OR(H244="",I244=""),"",(Profiles!$B$5*(Profiles!$B$10*H244+Profiles!$B$9*IF(J244="",H244,J244)+Profiles!$B$11*IF(K244="",H244,K244))+Profiles!$C$5*I244)/1000000+Profiles!$D$5*IF(L244="",0,L244))</f>
        <v/>
      </c>
      <c r="O244" s="12">
        <f>IF(OR(H244="",I244=""),"",(Profiles!$B$6*(Profiles!$B$10*H244+Profiles!$B$9*IF(J244="",H244,J244)+Profiles!$B$11*IF(K244="",H244,K244))+Profiles!$C$6*I244)/1000000+Profiles!$D$6*IF(L244="",0,L244))</f>
        <v/>
      </c>
      <c r="P244" s="12">
        <f>IF(OR(H244="",I244=""),"",(Profiles!$B$5*(Profiles!$B$10*H244+Profiles!$B$9*H244+Profiles!$B$11*H244)+Profiles!$C$5*I244)/1000000+Profiles!$D$5*IF(L244="",0,L244))</f>
        <v/>
      </c>
      <c r="Q244" t="inlineStr">
        <is>
          <t>2026-06-30</t>
        </is>
      </c>
    </row>
    <row r="245">
      <c r="A245" t="inlineStr">
        <is>
          <t>google/gemini-3-flash-preview:batch</t>
        </is>
      </c>
      <c r="B245" t="inlineStr">
        <is>
          <t>Google: Gemini 3 Flash Preview (batch)</t>
        </is>
      </c>
      <c r="D245" t="inlineStr">
        <is>
          <t>yes</t>
        </is>
      </c>
      <c r="E245" t="inlineStr">
        <is>
          <t>yes</t>
        </is>
      </c>
      <c r="F245" s="10" t="n">
        <v>1048576</v>
      </c>
      <c r="G245" t="inlineStr">
        <is>
          <t>batch (not interactive)</t>
        </is>
      </c>
      <c r="H245" s="11" t="n">
        <v>0.25</v>
      </c>
      <c r="I245" s="11" t="n">
        <v>1.5</v>
      </c>
      <c r="J245" s="11" t="n"/>
      <c r="K245" s="11" t="n"/>
      <c r="L245" s="11" t="n">
        <v>2.5e-07</v>
      </c>
      <c r="M245" s="12">
        <f>IF(OR(H245="",I245=""),"",(Profiles!$B$4*(Profiles!$B$10*H245+Profiles!$B$9*IF(J245="",H245,J245)+Profiles!$B$11*IF(K245="",H245,K245))+Profiles!$C$4*I245)/1000000+Profiles!$D$4*IF(L245="",0,L245))</f>
        <v/>
      </c>
      <c r="N245" s="12">
        <f>IF(OR(H245="",I245=""),"",(Profiles!$B$5*(Profiles!$B$10*H245+Profiles!$B$9*IF(J245="",H245,J245)+Profiles!$B$11*IF(K245="",H245,K245))+Profiles!$C$5*I245)/1000000+Profiles!$D$5*IF(L245="",0,L245))</f>
        <v/>
      </c>
      <c r="O245" s="12">
        <f>IF(OR(H245="",I245=""),"",(Profiles!$B$6*(Profiles!$B$10*H245+Profiles!$B$9*IF(J245="",H245,J245)+Profiles!$B$11*IF(K245="",H245,K245))+Profiles!$C$6*I245)/1000000+Profiles!$D$6*IF(L245="",0,L245))</f>
        <v/>
      </c>
      <c r="P245" s="12">
        <f>IF(OR(H245="",I245=""),"",(Profiles!$B$5*(Profiles!$B$10*H245+Profiles!$B$9*H245+Profiles!$B$11*H245)+Profiles!$C$5*I245)/1000000+Profiles!$D$5*IF(L245="",0,L245))</f>
        <v/>
      </c>
      <c r="Q245" t="inlineStr">
        <is>
          <t>2025-12-17</t>
        </is>
      </c>
    </row>
    <row r="246">
      <c r="A246" t="inlineStr">
        <is>
          <t>x-ai/grok-4.3:batch</t>
        </is>
      </c>
      <c r="B246" t="inlineStr">
        <is>
          <t>SpaceXAI: Grok 4.3 (batch)</t>
        </is>
      </c>
      <c r="D246" t="inlineStr">
        <is>
          <t>yes</t>
        </is>
      </c>
      <c r="E246" t="inlineStr">
        <is>
          <t>yes</t>
        </is>
      </c>
      <c r="F246" s="10" t="n">
        <v>1000000</v>
      </c>
      <c r="G246" t="inlineStr">
        <is>
          <t>batch (not interactive)</t>
        </is>
      </c>
      <c r="H246" s="11" t="n">
        <v>1</v>
      </c>
      <c r="I246" s="11" t="n">
        <v>2</v>
      </c>
      <c r="J246" s="11" t="n">
        <v>0.16</v>
      </c>
      <c r="K246" s="11" t="n"/>
      <c r="L246" s="11" t="n"/>
      <c r="M246" s="12">
        <f>IF(OR(H246="",I246=""),"",(Profiles!$B$4*(Profiles!$B$10*H246+Profiles!$B$9*IF(J246="",H246,J246)+Profiles!$B$11*IF(K246="",H246,K246))+Profiles!$C$4*I246)/1000000+Profiles!$D$4*IF(L246="",0,L246))</f>
        <v/>
      </c>
      <c r="N246" s="12">
        <f>IF(OR(H246="",I246=""),"",(Profiles!$B$5*(Profiles!$B$10*H246+Profiles!$B$9*IF(J246="",H246,J246)+Profiles!$B$11*IF(K246="",H246,K246))+Profiles!$C$5*I246)/1000000+Profiles!$D$5*IF(L246="",0,L246))</f>
        <v/>
      </c>
      <c r="O246" s="12">
        <f>IF(OR(H246="",I246=""),"",(Profiles!$B$6*(Profiles!$B$10*H246+Profiles!$B$9*IF(J246="",H246,J246)+Profiles!$B$11*IF(K246="",H246,K246))+Profiles!$C$6*I246)/1000000+Profiles!$D$6*IF(L246="",0,L246))</f>
        <v/>
      </c>
      <c r="P246" s="12">
        <f>IF(OR(H246="",I246=""),"",(Profiles!$B$5*(Profiles!$B$10*H246+Profiles!$B$9*H246+Profiles!$B$11*H246)+Profiles!$C$5*I246)/1000000+Profiles!$D$5*IF(L246="",0,L246))</f>
        <v/>
      </c>
      <c r="Q246" t="inlineStr">
        <is>
          <t>2026-05-01</t>
        </is>
      </c>
    </row>
    <row r="247">
      <c r="A247" t="inlineStr">
        <is>
          <t>openai/gpt-5.4:batch</t>
        </is>
      </c>
      <c r="B247" t="inlineStr">
        <is>
          <t>OpenAI: GPT-5.4 (batch)</t>
        </is>
      </c>
      <c r="D247" t="inlineStr">
        <is>
          <t>yes</t>
        </is>
      </c>
      <c r="E247" t="inlineStr">
        <is>
          <t>yes</t>
        </is>
      </c>
      <c r="F247" s="10" t="n">
        <v>1050000</v>
      </c>
      <c r="G247" t="inlineStr">
        <is>
          <t>batch (not interactive)</t>
        </is>
      </c>
      <c r="H247" s="11" t="n">
        <v>1.25</v>
      </c>
      <c r="I247" s="11" t="n">
        <v>7.5</v>
      </c>
      <c r="J247" s="11" t="n">
        <v>0.125</v>
      </c>
      <c r="K247" s="11" t="n"/>
      <c r="L247" s="11" t="n"/>
      <c r="M247" s="12">
        <f>IF(OR(H247="",I247=""),"",(Profiles!$B$4*(Profiles!$B$10*H247+Profiles!$B$9*IF(J247="",H247,J247)+Profiles!$B$11*IF(K247="",H247,K247))+Profiles!$C$4*I247)/1000000+Profiles!$D$4*IF(L247="",0,L247))</f>
        <v/>
      </c>
      <c r="N247" s="12">
        <f>IF(OR(H247="",I247=""),"",(Profiles!$B$5*(Profiles!$B$10*H247+Profiles!$B$9*IF(J247="",H247,J247)+Profiles!$B$11*IF(K247="",H247,K247))+Profiles!$C$5*I247)/1000000+Profiles!$D$5*IF(L247="",0,L247))</f>
        <v/>
      </c>
      <c r="O247" s="12">
        <f>IF(OR(H247="",I247=""),"",(Profiles!$B$6*(Profiles!$B$10*H247+Profiles!$B$9*IF(J247="",H247,J247)+Profiles!$B$11*IF(K247="",H247,K247))+Profiles!$C$6*I247)/1000000+Profiles!$D$6*IF(L247="",0,L247))</f>
        <v/>
      </c>
      <c r="P247" s="12">
        <f>IF(OR(H247="",I247=""),"",(Profiles!$B$5*(Profiles!$B$10*H247+Profiles!$B$9*H247+Profiles!$B$11*H247)+Profiles!$C$5*I247)/1000000+Profiles!$D$5*IF(L247="",0,L247))</f>
        <v/>
      </c>
      <c r="Q247" t="inlineStr">
        <is>
          <t>2026-03-05</t>
        </is>
      </c>
    </row>
    <row r="248">
      <c r="A248" t="inlineStr">
        <is>
          <t>x-ai/grok-4.20-multi-agent</t>
        </is>
      </c>
      <c r="B248" t="inlineStr">
        <is>
          <t>SpaceXAI: Grok 4.20 Multi-Agent</t>
        </is>
      </c>
      <c r="D248" t="inlineStr">
        <is>
          <t>no</t>
        </is>
      </c>
      <c r="E248" t="inlineStr">
        <is>
          <t>yes</t>
        </is>
      </c>
      <c r="F248" s="10" t="n">
        <v>2000000</v>
      </c>
      <c r="H248" s="11" t="n">
        <v>1.25</v>
      </c>
      <c r="I248" s="11" t="n">
        <v>2.5</v>
      </c>
      <c r="J248" s="11" t="n">
        <v>0.2</v>
      </c>
      <c r="K248" s="11" t="n"/>
      <c r="L248" s="11" t="n"/>
      <c r="M248" s="12">
        <f>IF(OR(H248="",I248=""),"",(Profiles!$B$4*(Profiles!$B$10*H248+Profiles!$B$9*IF(J248="",H248,J248)+Profiles!$B$11*IF(K248="",H248,K248))+Profiles!$C$4*I248)/1000000+Profiles!$D$4*IF(L248="",0,L248))</f>
        <v/>
      </c>
      <c r="N248" s="12">
        <f>IF(OR(H248="",I248=""),"",(Profiles!$B$5*(Profiles!$B$10*H248+Profiles!$B$9*IF(J248="",H248,J248)+Profiles!$B$11*IF(K248="",H248,K248))+Profiles!$C$5*I248)/1000000+Profiles!$D$5*IF(L248="",0,L248))</f>
        <v/>
      </c>
      <c r="O248" s="12">
        <f>IF(OR(H248="",I248=""),"",(Profiles!$B$6*(Profiles!$B$10*H248+Profiles!$B$9*IF(J248="",H248,J248)+Profiles!$B$11*IF(K248="",H248,K248))+Profiles!$C$6*I248)/1000000+Profiles!$D$6*IF(L248="",0,L248))</f>
        <v/>
      </c>
      <c r="P248" s="12">
        <f>IF(OR(H248="",I248=""),"",(Profiles!$B$5*(Profiles!$B$10*H248+Profiles!$B$9*H248+Profiles!$B$11*H248)+Profiles!$C$5*I248)/1000000+Profiles!$D$5*IF(L248="",0,L248))</f>
        <v/>
      </c>
      <c r="Q248" t="inlineStr">
        <is>
          <t>2026-03-31</t>
        </is>
      </c>
    </row>
    <row r="249">
      <c r="A249" t="inlineStr">
        <is>
          <t>anthropic/claude-sonnet-4.6:batch</t>
        </is>
      </c>
      <c r="B249" t="inlineStr">
        <is>
          <t>Anthropic: Claude Sonnet 4.6 (batch)</t>
        </is>
      </c>
      <c r="D249" t="inlineStr">
        <is>
          <t>yes</t>
        </is>
      </c>
      <c r="E249" t="inlineStr">
        <is>
          <t>yes</t>
        </is>
      </c>
      <c r="F249" s="10" t="n">
        <v>1000000</v>
      </c>
      <c r="G249" t="inlineStr">
        <is>
          <t>batch (not interactive)</t>
        </is>
      </c>
      <c r="H249" s="11" t="n">
        <v>1.5</v>
      </c>
      <c r="I249" s="11" t="n">
        <v>7.5</v>
      </c>
      <c r="J249" s="11" t="n">
        <v>0.15</v>
      </c>
      <c r="K249" s="11" t="n">
        <v>1.875</v>
      </c>
      <c r="L249" s="11" t="n"/>
      <c r="M249" s="12">
        <f>IF(OR(H249="",I249=""),"",(Profiles!$B$4*(Profiles!$B$10*H249+Profiles!$B$9*IF(J249="",H249,J249)+Profiles!$B$11*IF(K249="",H249,K249))+Profiles!$C$4*I249)/1000000+Profiles!$D$4*IF(L249="",0,L249))</f>
        <v/>
      </c>
      <c r="N249" s="12">
        <f>IF(OR(H249="",I249=""),"",(Profiles!$B$5*(Profiles!$B$10*H249+Profiles!$B$9*IF(J249="",H249,J249)+Profiles!$B$11*IF(K249="",H249,K249))+Profiles!$C$5*I249)/1000000+Profiles!$D$5*IF(L249="",0,L249))</f>
        <v/>
      </c>
      <c r="O249" s="12">
        <f>IF(OR(H249="",I249=""),"",(Profiles!$B$6*(Profiles!$B$10*H249+Profiles!$B$9*IF(J249="",H249,J249)+Profiles!$B$11*IF(K249="",H249,K249))+Profiles!$C$6*I249)/1000000+Profiles!$D$6*IF(L249="",0,L249))</f>
        <v/>
      </c>
      <c r="P249" s="12">
        <f>IF(OR(H249="",I249=""),"",(Profiles!$B$5*(Profiles!$B$10*H249+Profiles!$B$9*H249+Profiles!$B$11*H249)+Profiles!$C$5*I249)/1000000+Profiles!$D$5*IF(L249="",0,L249))</f>
        <v/>
      </c>
      <c r="Q249" t="inlineStr">
        <is>
          <t>2026-02-17</t>
        </is>
      </c>
    </row>
    <row r="250">
      <c r="A250" t="inlineStr">
        <is>
          <t>anthropic/claude-sonnet-4.5:batch</t>
        </is>
      </c>
      <c r="B250" t="inlineStr">
        <is>
          <t>Anthropic: Claude Sonnet 4.5 (batch)</t>
        </is>
      </c>
      <c r="D250" t="inlineStr">
        <is>
          <t>yes</t>
        </is>
      </c>
      <c r="E250" t="inlineStr">
        <is>
          <t>yes</t>
        </is>
      </c>
      <c r="F250" s="10" t="n">
        <v>1000000</v>
      </c>
      <c r="G250" t="inlineStr">
        <is>
          <t>batch (not interactive)</t>
        </is>
      </c>
      <c r="H250" s="11" t="n">
        <v>1.5</v>
      </c>
      <c r="I250" s="11" t="n">
        <v>7.5</v>
      </c>
      <c r="J250" s="11" t="n">
        <v>0.15</v>
      </c>
      <c r="K250" s="11" t="n">
        <v>1.875</v>
      </c>
      <c r="L250" s="11" t="n"/>
      <c r="M250" s="12">
        <f>IF(OR(H250="",I250=""),"",(Profiles!$B$4*(Profiles!$B$10*H250+Profiles!$B$9*IF(J250="",H250,J250)+Profiles!$B$11*IF(K250="",H250,K250))+Profiles!$C$4*I250)/1000000+Profiles!$D$4*IF(L250="",0,L250))</f>
        <v/>
      </c>
      <c r="N250" s="12">
        <f>IF(OR(H250="",I250=""),"",(Profiles!$B$5*(Profiles!$B$10*H250+Profiles!$B$9*IF(J250="",H250,J250)+Profiles!$B$11*IF(K250="",H250,K250))+Profiles!$C$5*I250)/1000000+Profiles!$D$5*IF(L250="",0,L250))</f>
        <v/>
      </c>
      <c r="O250" s="12">
        <f>IF(OR(H250="",I250=""),"",(Profiles!$B$6*(Profiles!$B$10*H250+Profiles!$B$9*IF(J250="",H250,J250)+Profiles!$B$11*IF(K250="",H250,K250))+Profiles!$C$6*I250)/1000000+Profiles!$D$6*IF(L250="",0,L250))</f>
        <v/>
      </c>
      <c r="P250" s="12">
        <f>IF(OR(H250="",I250=""),"",(Profiles!$B$5*(Profiles!$B$10*H250+Profiles!$B$9*H250+Profiles!$B$11*H250)+Profiles!$C$5*I250)/1000000+Profiles!$D$5*IF(L250="",0,L250))</f>
        <v/>
      </c>
      <c r="Q250" t="inlineStr">
        <is>
          <t>2025-09-29</t>
        </is>
      </c>
    </row>
    <row r="251">
      <c r="A251" t="inlineStr">
        <is>
          <t>openai/o3:batch</t>
        </is>
      </c>
      <c r="B251" t="inlineStr">
        <is>
          <t>OpenAI: o3 (batch)</t>
        </is>
      </c>
      <c r="D251" t="inlineStr">
        <is>
          <t>yes</t>
        </is>
      </c>
      <c r="E251" t="inlineStr">
        <is>
          <t>yes</t>
        </is>
      </c>
      <c r="F251" s="10" t="n">
        <v>200000</v>
      </c>
      <c r="G251" t="inlineStr">
        <is>
          <t>batch (not interactive)</t>
        </is>
      </c>
      <c r="H251" s="11" t="n">
        <v>1</v>
      </c>
      <c r="I251" s="11" t="n">
        <v>4</v>
      </c>
      <c r="J251" s="11" t="n">
        <v>0.25</v>
      </c>
      <c r="K251" s="11" t="n"/>
      <c r="L251" s="11" t="n"/>
      <c r="M251" s="12">
        <f>IF(OR(H251="",I251=""),"",(Profiles!$B$4*(Profiles!$B$10*H251+Profiles!$B$9*IF(J251="",H251,J251)+Profiles!$B$11*IF(K251="",H251,K251))+Profiles!$C$4*I251)/1000000+Profiles!$D$4*IF(L251="",0,L251))</f>
        <v/>
      </c>
      <c r="N251" s="12">
        <f>IF(OR(H251="",I251=""),"",(Profiles!$B$5*(Profiles!$B$10*H251+Profiles!$B$9*IF(J251="",H251,J251)+Profiles!$B$11*IF(K251="",H251,K251))+Profiles!$C$5*I251)/1000000+Profiles!$D$5*IF(L251="",0,L251))</f>
        <v/>
      </c>
      <c r="O251" s="12">
        <f>IF(OR(H251="",I251=""),"",(Profiles!$B$6*(Profiles!$B$10*H251+Profiles!$B$9*IF(J251="",H251,J251)+Profiles!$B$11*IF(K251="",H251,K251))+Profiles!$C$6*I251)/1000000+Profiles!$D$6*IF(L251="",0,L251))</f>
        <v/>
      </c>
      <c r="P251" s="12">
        <f>IF(OR(H251="",I251=""),"",(Profiles!$B$5*(Profiles!$B$10*H251+Profiles!$B$9*H251+Profiles!$B$11*H251)+Profiles!$C$5*I251)/1000000+Profiles!$D$5*IF(L251="",0,L251))</f>
        <v/>
      </c>
      <c r="Q251" t="inlineStr">
        <is>
          <t>2025-04-16</t>
        </is>
      </c>
    </row>
    <row r="252">
      <c r="A252" t="inlineStr">
        <is>
          <t>openai/gpt-4.1:batch</t>
        </is>
      </c>
      <c r="B252" t="inlineStr">
        <is>
          <t>OpenAI: GPT-4.1 (batch)</t>
        </is>
      </c>
      <c r="D252" t="inlineStr">
        <is>
          <t>yes</t>
        </is>
      </c>
      <c r="E252" t="inlineStr">
        <is>
          <t>yes</t>
        </is>
      </c>
      <c r="F252" s="10" t="n">
        <v>1047576</v>
      </c>
      <c r="G252" t="inlineStr">
        <is>
          <t>batch (not interactive)</t>
        </is>
      </c>
      <c r="H252" s="11" t="n">
        <v>1</v>
      </c>
      <c r="I252" s="11" t="n">
        <v>4</v>
      </c>
      <c r="J252" s="11" t="n">
        <v>0.25</v>
      </c>
      <c r="K252" s="11" t="n"/>
      <c r="L252" s="11" t="n"/>
      <c r="M252" s="12">
        <f>IF(OR(H252="",I252=""),"",(Profiles!$B$4*(Profiles!$B$10*H252+Profiles!$B$9*IF(J252="",H252,J252)+Profiles!$B$11*IF(K252="",H252,K252))+Profiles!$C$4*I252)/1000000+Profiles!$D$4*IF(L252="",0,L252))</f>
        <v/>
      </c>
      <c r="N252" s="12">
        <f>IF(OR(H252="",I252=""),"",(Profiles!$B$5*(Profiles!$B$10*H252+Profiles!$B$9*IF(J252="",H252,J252)+Profiles!$B$11*IF(K252="",H252,K252))+Profiles!$C$5*I252)/1000000+Profiles!$D$5*IF(L252="",0,L252))</f>
        <v/>
      </c>
      <c r="O252" s="12">
        <f>IF(OR(H252="",I252=""),"",(Profiles!$B$6*(Profiles!$B$10*H252+Profiles!$B$9*IF(J252="",H252,J252)+Profiles!$B$11*IF(K252="",H252,K252))+Profiles!$C$6*I252)/1000000+Profiles!$D$6*IF(L252="",0,L252))</f>
        <v/>
      </c>
      <c r="P252" s="12">
        <f>IF(OR(H252="",I252=""),"",(Profiles!$B$5*(Profiles!$B$10*H252+Profiles!$B$9*H252+Profiles!$B$11*H252)+Profiles!$C$5*I252)/1000000+Profiles!$D$5*IF(L252="",0,L252))</f>
        <v/>
      </c>
      <c r="Q252" t="inlineStr">
        <is>
          <t>2025-04-14</t>
        </is>
      </c>
    </row>
    <row r="253">
      <c r="A253" t="inlineStr">
        <is>
          <t>anthropic/claude-opus-5.5:batch</t>
        </is>
      </c>
      <c r="B253" t="inlineStr">
        <is>
          <t>Anthropic: Claude Opus 5.5 (batch)</t>
        </is>
      </c>
      <c r="D253" t="inlineStr">
        <is>
          <t>yes</t>
        </is>
      </c>
      <c r="E253" t="inlineStr">
        <is>
          <t>yes</t>
        </is>
      </c>
      <c r="F253" s="10" t="n">
        <v>1000000</v>
      </c>
      <c r="G253" t="inlineStr">
        <is>
          <t>batch (not interactive)</t>
        </is>
      </c>
      <c r="H253" s="11" t="n">
        <v>2</v>
      </c>
      <c r="I253" s="11" t="n">
        <v>10</v>
      </c>
      <c r="J253" s="11" t="n">
        <v>0.09999999999999999</v>
      </c>
      <c r="K253" s="11" t="n">
        <v>2.5</v>
      </c>
      <c r="L253" s="11" t="n"/>
      <c r="M253" s="12">
        <f>IF(OR(H253="",I253=""),"",(Profiles!$B$4*(Profiles!$B$10*H253+Profiles!$B$9*IF(J253="",H253,J253)+Profiles!$B$11*IF(K253="",H253,K253))+Profiles!$C$4*I253)/1000000+Profiles!$D$4*IF(L253="",0,L253))</f>
        <v/>
      </c>
      <c r="N253" s="12">
        <f>IF(OR(H253="",I253=""),"",(Profiles!$B$5*(Profiles!$B$10*H253+Profiles!$B$9*IF(J253="",H253,J253)+Profiles!$B$11*IF(K253="",H253,K253))+Profiles!$C$5*I253)/1000000+Profiles!$D$5*IF(L253="",0,L253))</f>
        <v/>
      </c>
      <c r="O253" s="12">
        <f>IF(OR(H253="",I253=""),"",(Profiles!$B$6*(Profiles!$B$10*H253+Profiles!$B$9*IF(J253="",H253,J253)+Profiles!$B$11*IF(K253="",H253,K253))+Profiles!$C$6*I253)/1000000+Profiles!$D$6*IF(L253="",0,L253))</f>
        <v/>
      </c>
      <c r="P253" s="12">
        <f>IF(OR(H253="",I253=""),"",(Profiles!$B$5*(Profiles!$B$10*H253+Profiles!$B$9*H253+Profiles!$B$11*H253)+Profiles!$C$5*I253)/1000000+Profiles!$D$5*IF(L253="",0,L253))</f>
        <v/>
      </c>
      <c r="Q253" t="inlineStr">
        <is>
          <t>2026-09-22</t>
        </is>
      </c>
    </row>
    <row r="254">
      <c r="A254" t="inlineStr">
        <is>
          <t>google/gemini-3-pro-image-preview</t>
        </is>
      </c>
      <c r="B254" t="inlineStr">
        <is>
          <t>Google: Nano Banana Pro (Gemini 3 Pro Image Preview)</t>
        </is>
      </c>
      <c r="D254" t="inlineStr">
        <is>
          <t>no</t>
        </is>
      </c>
      <c r="E254" t="inlineStr">
        <is>
          <t>yes</t>
        </is>
      </c>
      <c r="F254" s="10" t="n">
        <v>65536</v>
      </c>
      <c r="H254" s="11" t="n">
        <v>2</v>
      </c>
      <c r="I254" s="11" t="n">
        <v>12</v>
      </c>
      <c r="J254" s="11" t="n">
        <v>0.2</v>
      </c>
      <c r="K254" s="11" t="n">
        <v>0.375</v>
      </c>
      <c r="L254" s="11" t="n">
        <v>2e-06</v>
      </c>
      <c r="M254" s="12">
        <f>IF(OR(H254="",I254=""),"",(Profiles!$B$4*(Profiles!$B$10*H254+Profiles!$B$9*IF(J254="",H254,J254)+Profiles!$B$11*IF(K254="",H254,K254))+Profiles!$C$4*I254)/1000000+Profiles!$D$4*IF(L254="",0,L254))</f>
        <v/>
      </c>
      <c r="N254" s="12">
        <f>IF(OR(H254="",I254=""),"",(Profiles!$B$5*(Profiles!$B$10*H254+Profiles!$B$9*IF(J254="",H254,J254)+Profiles!$B$11*IF(K254="",H254,K254))+Profiles!$C$5*I254)/1000000+Profiles!$D$5*IF(L254="",0,L254))</f>
        <v/>
      </c>
      <c r="O254" s="12">
        <f>IF(OR(H254="",I254=""),"",(Profiles!$B$6*(Profiles!$B$10*H254+Profiles!$B$9*IF(J254="",H254,J254)+Profiles!$B$11*IF(K254="",H254,K254))+Profiles!$C$6*I254)/1000000+Profiles!$D$6*IF(L254="",0,L254))</f>
        <v/>
      </c>
      <c r="P254" s="12">
        <f>IF(OR(H254="",I254=""),"",(Profiles!$B$5*(Profiles!$B$10*H254+Profiles!$B$9*H254+Profiles!$B$11*H254)+Profiles!$C$5*I254)/1000000+Profiles!$D$5*IF(L254="",0,L254))</f>
        <v/>
      </c>
      <c r="Q254" t="inlineStr">
        <is>
          <t>2025-11-20</t>
        </is>
      </c>
    </row>
    <row r="255">
      <c r="A255" t="inlineStr">
        <is>
          <t>baidu/ernie-4.5-vl-424b-a47b</t>
        </is>
      </c>
      <c r="B255" t="inlineStr">
        <is>
          <t xml:space="preserve">Baidu: ERNIE 4.5 VL 424B A47B </t>
        </is>
      </c>
      <c r="D255" t="inlineStr">
        <is>
          <t>no</t>
        </is>
      </c>
      <c r="E255" t="inlineStr">
        <is>
          <t>yes</t>
        </is>
      </c>
      <c r="F255" s="10" t="n">
        <v>123000</v>
      </c>
      <c r="H255" s="11" t="n">
        <v>0.42</v>
      </c>
      <c r="I255" s="11" t="n">
        <v>1.25</v>
      </c>
      <c r="J255" s="11" t="n"/>
      <c r="K255" s="11" t="n"/>
      <c r="L255" s="11" t="n"/>
      <c r="M255" s="12">
        <f>IF(OR(H255="",I255=""),"",(Profiles!$B$4*(Profiles!$B$10*H255+Profiles!$B$9*IF(J255="",H255,J255)+Profiles!$B$11*IF(K255="",H255,K255))+Profiles!$C$4*I255)/1000000+Profiles!$D$4*IF(L255="",0,L255))</f>
        <v/>
      </c>
      <c r="N255" s="12">
        <f>IF(OR(H255="",I255=""),"",(Profiles!$B$5*(Profiles!$B$10*H255+Profiles!$B$9*IF(J255="",H255,J255)+Profiles!$B$11*IF(K255="",H255,K255))+Profiles!$C$5*I255)/1000000+Profiles!$D$5*IF(L255="",0,L255))</f>
        <v/>
      </c>
      <c r="O255" s="12">
        <f>IF(OR(H255="",I255=""),"",(Profiles!$B$6*(Profiles!$B$10*H255+Profiles!$B$9*IF(J255="",H255,J255)+Profiles!$B$11*IF(K255="",H255,K255))+Profiles!$C$6*I255)/1000000+Profiles!$D$6*IF(L255="",0,L255))</f>
        <v/>
      </c>
      <c r="P255" s="12">
        <f>IF(OR(H255="",I255=""),"",(Profiles!$B$5*(Profiles!$B$10*H255+Profiles!$B$9*H255+Profiles!$B$11*H255)+Profiles!$C$5*I255)/1000000+Profiles!$D$5*IF(L255="",0,L255))</f>
        <v/>
      </c>
      <c r="Q255" t="inlineStr">
        <is>
          <t>2025-06-30</t>
        </is>
      </c>
      <c r="R255" t="inlineStr">
        <is>
          <t>2026-10-08</t>
        </is>
      </c>
    </row>
    <row r="256">
      <c r="A256" t="inlineStr">
        <is>
          <t>qwen/qwen2.5-vl-72b-instruct</t>
        </is>
      </c>
      <c r="B256" t="inlineStr">
        <is>
          <t>Qwen: Qwen2.5 VL 72B Instruct</t>
        </is>
      </c>
      <c r="D256" t="inlineStr">
        <is>
          <t>no</t>
        </is>
      </c>
      <c r="E256" t="inlineStr">
        <is>
          <t>yes</t>
        </is>
      </c>
      <c r="F256" s="10" t="n">
        <v>128000</v>
      </c>
      <c r="H256" s="11" t="n">
        <v>0.7999999999999999</v>
      </c>
      <c r="I256" s="11" t="n">
        <v>1</v>
      </c>
      <c r="J256" s="11" t="n">
        <v>0.4</v>
      </c>
      <c r="K256" s="11" t="n"/>
      <c r="L256" s="11" t="n"/>
      <c r="M256" s="12">
        <f>IF(OR(H256="",I256=""),"",(Profiles!$B$4*(Profiles!$B$10*H256+Profiles!$B$9*IF(J256="",H256,J256)+Profiles!$B$11*IF(K256="",H256,K256))+Profiles!$C$4*I256)/1000000+Profiles!$D$4*IF(L256="",0,L256))</f>
        <v/>
      </c>
      <c r="N256" s="12">
        <f>IF(OR(H256="",I256=""),"",(Profiles!$B$5*(Profiles!$B$10*H256+Profiles!$B$9*IF(J256="",H256,J256)+Profiles!$B$11*IF(K256="",H256,K256))+Profiles!$C$5*I256)/1000000+Profiles!$D$5*IF(L256="",0,L256))</f>
        <v/>
      </c>
      <c r="O256" s="12">
        <f>IF(OR(H256="",I256=""),"",(Profiles!$B$6*(Profiles!$B$10*H256+Profiles!$B$9*IF(J256="",H256,J256)+Profiles!$B$11*IF(K256="",H256,K256))+Profiles!$C$6*I256)/1000000+Profiles!$D$6*IF(L256="",0,L256))</f>
        <v/>
      </c>
      <c r="P256" s="12">
        <f>IF(OR(H256="",I256=""),"",(Profiles!$B$5*(Profiles!$B$10*H256+Profiles!$B$9*H256+Profiles!$B$11*H256)+Profiles!$C$5*I256)/1000000+Profiles!$D$5*IF(L256="",0,L256))</f>
        <v/>
      </c>
      <c r="Q256" t="inlineStr">
        <is>
          <t>2025-02-01</t>
        </is>
      </c>
    </row>
    <row r="257">
      <c r="A257" t="inlineStr">
        <is>
          <t>openai/gpt-5-image-mini</t>
        </is>
      </c>
      <c r="B257" t="inlineStr">
        <is>
          <t>OpenAI: GPT-5 Image Mini</t>
        </is>
      </c>
      <c r="D257" t="inlineStr">
        <is>
          <t>no</t>
        </is>
      </c>
      <c r="E257" t="inlineStr">
        <is>
          <t>yes</t>
        </is>
      </c>
      <c r="F257" s="10" t="n">
        <v>400000</v>
      </c>
      <c r="H257" s="11" t="n">
        <v>2.5</v>
      </c>
      <c r="I257" s="11" t="n">
        <v>2</v>
      </c>
      <c r="J257" s="11" t="n">
        <v>0.25</v>
      </c>
      <c r="K257" s="11" t="n"/>
      <c r="L257" s="11" t="n"/>
      <c r="M257" s="12">
        <f>IF(OR(H257="",I257=""),"",(Profiles!$B$4*(Profiles!$B$10*H257+Profiles!$B$9*IF(J257="",H257,J257)+Profiles!$B$11*IF(K257="",H257,K257))+Profiles!$C$4*I257)/1000000+Profiles!$D$4*IF(L257="",0,L257))</f>
        <v/>
      </c>
      <c r="N257" s="12">
        <f>IF(OR(H257="",I257=""),"",(Profiles!$B$5*(Profiles!$B$10*H257+Profiles!$B$9*IF(J257="",H257,J257)+Profiles!$B$11*IF(K257="",H257,K257))+Profiles!$C$5*I257)/1000000+Profiles!$D$5*IF(L257="",0,L257))</f>
        <v/>
      </c>
      <c r="O257" s="12">
        <f>IF(OR(H257="",I257=""),"",(Profiles!$B$6*(Profiles!$B$10*H257+Profiles!$B$9*IF(J257="",H257,J257)+Profiles!$B$11*IF(K257="",H257,K257))+Profiles!$C$6*I257)/1000000+Profiles!$D$6*IF(L257="",0,L257))</f>
        <v/>
      </c>
      <c r="P257" s="12">
        <f>IF(OR(H257="",I257=""),"",(Profiles!$B$5*(Profiles!$B$10*H257+Profiles!$B$9*H257+Profiles!$B$11*H257)+Profiles!$C$5*I257)/1000000+Profiles!$D$5*IF(L257="",0,L257))</f>
        <v/>
      </c>
      <c r="Q257" t="inlineStr">
        <is>
          <t>2025-10-16</t>
        </is>
      </c>
    </row>
    <row r="258">
      <c r="A258" t="inlineStr">
        <is>
          <t>moonshotai/kimi-k3:batch</t>
        </is>
      </c>
      <c r="B258" t="inlineStr">
        <is>
          <t>MoonshotAI: Kimi K3 (batch)</t>
        </is>
      </c>
      <c r="D258" t="inlineStr">
        <is>
          <t>yes</t>
        </is>
      </c>
      <c r="E258" t="inlineStr">
        <is>
          <t>yes</t>
        </is>
      </c>
      <c r="F258" s="10" t="n">
        <v>1048576</v>
      </c>
      <c r="G258" t="inlineStr">
        <is>
          <t>batch (not interactive)</t>
        </is>
      </c>
      <c r="H258" s="11" t="n">
        <v>2.28</v>
      </c>
      <c r="I258" s="11" t="n">
        <v>11.4</v>
      </c>
      <c r="J258" s="11" t="n">
        <v>0.228</v>
      </c>
      <c r="K258" s="11" t="n"/>
      <c r="L258" s="11" t="n"/>
      <c r="M258" s="12">
        <f>IF(OR(H258="",I258=""),"",(Profiles!$B$4*(Profiles!$B$10*H258+Profiles!$B$9*IF(J258="",H258,J258)+Profiles!$B$11*IF(K258="",H258,K258))+Profiles!$C$4*I258)/1000000+Profiles!$D$4*IF(L258="",0,L258))</f>
        <v/>
      </c>
      <c r="N258" s="12">
        <f>IF(OR(H258="",I258=""),"",(Profiles!$B$5*(Profiles!$B$10*H258+Profiles!$B$9*IF(J258="",H258,J258)+Profiles!$B$11*IF(K258="",H258,K258))+Profiles!$C$5*I258)/1000000+Profiles!$D$5*IF(L258="",0,L258))</f>
        <v/>
      </c>
      <c r="O258" s="12">
        <f>IF(OR(H258="",I258=""),"",(Profiles!$B$6*(Profiles!$B$10*H258+Profiles!$B$9*IF(J258="",H258,J258)+Profiles!$B$11*IF(K258="",H258,K258))+Profiles!$C$6*I258)/1000000+Profiles!$D$6*IF(L258="",0,L258))</f>
        <v/>
      </c>
      <c r="P258" s="12">
        <f>IF(OR(H258="",I258=""),"",(Profiles!$B$5*(Profiles!$B$10*H258+Profiles!$B$9*H258+Profiles!$B$11*H258)+Profiles!$C$5*I258)/1000000+Profiles!$D$5*IF(L258="",0,L258))</f>
        <v/>
      </c>
      <c r="Q258" t="inlineStr">
        <is>
          <t>2026-07-16</t>
        </is>
      </c>
    </row>
    <row r="259">
      <c r="A259" t="inlineStr">
        <is>
          <t>google/gemini-3.1-flash-image</t>
        </is>
      </c>
      <c r="B259" t="inlineStr">
        <is>
          <t>Google: Nano Banana 2 (Gemini 3.1 Flash Image)</t>
        </is>
      </c>
      <c r="D259" t="inlineStr">
        <is>
          <t>no</t>
        </is>
      </c>
      <c r="E259" t="inlineStr">
        <is>
          <t>yes</t>
        </is>
      </c>
      <c r="F259" s="10" t="n">
        <v>131072</v>
      </c>
      <c r="H259" s="11" t="n">
        <v>0.5</v>
      </c>
      <c r="I259" s="11" t="n">
        <v>3</v>
      </c>
      <c r="J259" s="11" t="n"/>
      <c r="K259" s="11" t="n"/>
      <c r="L259" s="11" t="n"/>
      <c r="M259" s="12">
        <f>IF(OR(H259="",I259=""),"",(Profiles!$B$4*(Profiles!$B$10*H259+Profiles!$B$9*IF(J259="",H259,J259)+Profiles!$B$11*IF(K259="",H259,K259))+Profiles!$C$4*I259)/1000000+Profiles!$D$4*IF(L259="",0,L259))</f>
        <v/>
      </c>
      <c r="N259" s="12">
        <f>IF(OR(H259="",I259=""),"",(Profiles!$B$5*(Profiles!$B$10*H259+Profiles!$B$9*IF(J259="",H259,J259)+Profiles!$B$11*IF(K259="",H259,K259))+Profiles!$C$5*I259)/1000000+Profiles!$D$5*IF(L259="",0,L259))</f>
        <v/>
      </c>
      <c r="O259" s="12">
        <f>IF(OR(H259="",I259=""),"",(Profiles!$B$6*(Profiles!$B$10*H259+Profiles!$B$9*IF(J259="",H259,J259)+Profiles!$B$11*IF(K259="",H259,K259))+Profiles!$C$6*I259)/1000000+Profiles!$D$6*IF(L259="",0,L259))</f>
        <v/>
      </c>
      <c r="P259" s="12">
        <f>IF(OR(H259="",I259=""),"",(Profiles!$B$5*(Profiles!$B$10*H259+Profiles!$B$9*H259+Profiles!$B$11*H259)+Profiles!$C$5*I259)/1000000+Profiles!$D$5*IF(L259="",0,L259))</f>
        <v/>
      </c>
      <c r="Q259" t="inlineStr">
        <is>
          <t>2026-06-18</t>
        </is>
      </c>
    </row>
    <row r="260">
      <c r="A260" t="inlineStr">
        <is>
          <t>google/gemini-3.1-flash-image-preview</t>
        </is>
      </c>
      <c r="B260" t="inlineStr">
        <is>
          <t>Google: Nano Banana 2 (Gemini 3.1 Flash Image Preview)</t>
        </is>
      </c>
      <c r="D260" t="inlineStr">
        <is>
          <t>no</t>
        </is>
      </c>
      <c r="E260" t="inlineStr">
        <is>
          <t>yes</t>
        </is>
      </c>
      <c r="F260" s="10" t="n">
        <v>65536</v>
      </c>
      <c r="H260" s="11" t="n">
        <v>0.5</v>
      </c>
      <c r="I260" s="11" t="n">
        <v>3</v>
      </c>
      <c r="J260" s="11" t="n"/>
      <c r="K260" s="11" t="n"/>
      <c r="L260" s="11" t="n"/>
      <c r="M260" s="12">
        <f>IF(OR(H260="",I260=""),"",(Profiles!$B$4*(Profiles!$B$10*H260+Profiles!$B$9*IF(J260="",H260,J260)+Profiles!$B$11*IF(K260="",H260,K260))+Profiles!$C$4*I260)/1000000+Profiles!$D$4*IF(L260="",0,L260))</f>
        <v/>
      </c>
      <c r="N260" s="12">
        <f>IF(OR(H260="",I260=""),"",(Profiles!$B$5*(Profiles!$B$10*H260+Profiles!$B$9*IF(J260="",H260,J260)+Profiles!$B$11*IF(K260="",H260,K260))+Profiles!$C$5*I260)/1000000+Profiles!$D$5*IF(L260="",0,L260))</f>
        <v/>
      </c>
      <c r="O260" s="12">
        <f>IF(OR(H260="",I260=""),"",(Profiles!$B$6*(Profiles!$B$10*H260+Profiles!$B$9*IF(J260="",H260,J260)+Profiles!$B$11*IF(K260="",H260,K260))+Profiles!$C$6*I260)/1000000+Profiles!$D$6*IF(L260="",0,L260))</f>
        <v/>
      </c>
      <c r="P260" s="12">
        <f>IF(OR(H260="",I260=""),"",(Profiles!$B$5*(Profiles!$B$10*H260+Profiles!$B$9*H260+Profiles!$B$11*H260)+Profiles!$C$5*I260)/1000000+Profiles!$D$5*IF(L260="",0,L260))</f>
        <v/>
      </c>
      <c r="Q260" t="inlineStr">
        <is>
          <t>2026-02-26</t>
        </is>
      </c>
    </row>
    <row r="261">
      <c r="A261" t="inlineStr">
        <is>
          <t>openai/gpt-5.5:batch</t>
        </is>
      </c>
      <c r="B261" t="inlineStr">
        <is>
          <t>OpenAI: GPT-5.5 (batch)</t>
        </is>
      </c>
      <c r="D261" t="inlineStr">
        <is>
          <t>yes</t>
        </is>
      </c>
      <c r="E261" t="inlineStr">
        <is>
          <t>yes</t>
        </is>
      </c>
      <c r="F261" s="10" t="n">
        <v>1050000</v>
      </c>
      <c r="G261" t="inlineStr">
        <is>
          <t>batch (not interactive)</t>
        </is>
      </c>
      <c r="H261" s="11" t="n">
        <v>2.5</v>
      </c>
      <c r="I261" s="11" t="n">
        <v>15</v>
      </c>
      <c r="J261" s="11" t="n">
        <v>0.25</v>
      </c>
      <c r="K261" s="11" t="n"/>
      <c r="L261" s="11" t="n"/>
      <c r="M261" s="12">
        <f>IF(OR(H261="",I261=""),"",(Profiles!$B$4*(Profiles!$B$10*H261+Profiles!$B$9*IF(J261="",H261,J261)+Profiles!$B$11*IF(K261="",H261,K261))+Profiles!$C$4*I261)/1000000+Profiles!$D$4*IF(L261="",0,L261))</f>
        <v/>
      </c>
      <c r="N261" s="12">
        <f>IF(OR(H261="",I261=""),"",(Profiles!$B$5*(Profiles!$B$10*H261+Profiles!$B$9*IF(J261="",H261,J261)+Profiles!$B$11*IF(K261="",H261,K261))+Profiles!$C$5*I261)/1000000+Profiles!$D$5*IF(L261="",0,L261))</f>
        <v/>
      </c>
      <c r="O261" s="12">
        <f>IF(OR(H261="",I261=""),"",(Profiles!$B$6*(Profiles!$B$10*H261+Profiles!$B$9*IF(J261="",H261,J261)+Profiles!$B$11*IF(K261="",H261,K261))+Profiles!$C$6*I261)/1000000+Profiles!$D$6*IF(L261="",0,L261))</f>
        <v/>
      </c>
      <c r="P261" s="12">
        <f>IF(OR(H261="",I261=""),"",(Profiles!$B$5*(Profiles!$B$10*H261+Profiles!$B$9*H261+Profiles!$B$11*H261)+Profiles!$C$5*I261)/1000000+Profiles!$D$5*IF(L261="",0,L261))</f>
        <v/>
      </c>
      <c r="Q261" t="inlineStr">
        <is>
          <t>2026-04-24</t>
        </is>
      </c>
    </row>
    <row r="262">
      <c r="A262" t="inlineStr">
        <is>
          <t>anthropic/claude-opus-5:batch</t>
        </is>
      </c>
      <c r="B262" t="inlineStr">
        <is>
          <t>Anthropic: Claude Opus 5 (batch)</t>
        </is>
      </c>
      <c r="D262" t="inlineStr">
        <is>
          <t>yes</t>
        </is>
      </c>
      <c r="E262" t="inlineStr">
        <is>
          <t>yes</t>
        </is>
      </c>
      <c r="F262" s="10" t="n">
        <v>1000000</v>
      </c>
      <c r="G262" t="inlineStr">
        <is>
          <t>batch (not interactive)</t>
        </is>
      </c>
      <c r="H262" s="11" t="n">
        <v>2.5</v>
      </c>
      <c r="I262" s="11" t="n">
        <v>12.5</v>
      </c>
      <c r="J262" s="11" t="n">
        <v>0.25</v>
      </c>
      <c r="K262" s="11" t="n">
        <v>3.125</v>
      </c>
      <c r="L262" s="11" t="n"/>
      <c r="M262" s="12">
        <f>IF(OR(H262="",I262=""),"",(Profiles!$B$4*(Profiles!$B$10*H262+Profiles!$B$9*IF(J262="",H262,J262)+Profiles!$B$11*IF(K262="",H262,K262))+Profiles!$C$4*I262)/1000000+Profiles!$D$4*IF(L262="",0,L262))</f>
        <v/>
      </c>
      <c r="N262" s="12">
        <f>IF(OR(H262="",I262=""),"",(Profiles!$B$5*(Profiles!$B$10*H262+Profiles!$B$9*IF(J262="",H262,J262)+Profiles!$B$11*IF(K262="",H262,K262))+Profiles!$C$5*I262)/1000000+Profiles!$D$5*IF(L262="",0,L262))</f>
        <v/>
      </c>
      <c r="O262" s="12">
        <f>IF(OR(H262="",I262=""),"",(Profiles!$B$6*(Profiles!$B$10*H262+Profiles!$B$9*IF(J262="",H262,J262)+Profiles!$B$11*IF(K262="",H262,K262))+Profiles!$C$6*I262)/1000000+Profiles!$D$6*IF(L262="",0,L262))</f>
        <v/>
      </c>
      <c r="P262" s="12">
        <f>IF(OR(H262="",I262=""),"",(Profiles!$B$5*(Profiles!$B$10*H262+Profiles!$B$9*H262+Profiles!$B$11*H262)+Profiles!$C$5*I262)/1000000+Profiles!$D$5*IF(L262="",0,L262))</f>
        <v/>
      </c>
      <c r="Q262" t="inlineStr">
        <is>
          <t>2026-07-24</t>
        </is>
      </c>
    </row>
    <row r="263">
      <c r="A263" t="inlineStr">
        <is>
          <t>anthropic/claude-opus-4.8:batch</t>
        </is>
      </c>
      <c r="B263" t="inlineStr">
        <is>
          <t>Anthropic: Claude Opus 4.8 (batch)</t>
        </is>
      </c>
      <c r="D263" t="inlineStr">
        <is>
          <t>yes</t>
        </is>
      </c>
      <c r="E263" t="inlineStr">
        <is>
          <t>yes</t>
        </is>
      </c>
      <c r="F263" s="10" t="n">
        <v>1000000</v>
      </c>
      <c r="G263" t="inlineStr">
        <is>
          <t>batch (not interactive)</t>
        </is>
      </c>
      <c r="H263" s="11" t="n">
        <v>2.5</v>
      </c>
      <c r="I263" s="11" t="n">
        <v>12.5</v>
      </c>
      <c r="J263" s="11" t="n">
        <v>0.25</v>
      </c>
      <c r="K263" s="11" t="n">
        <v>3.125</v>
      </c>
      <c r="L263" s="11" t="n"/>
      <c r="M263" s="12">
        <f>IF(OR(H263="",I263=""),"",(Profiles!$B$4*(Profiles!$B$10*H263+Profiles!$B$9*IF(J263="",H263,J263)+Profiles!$B$11*IF(K263="",H263,K263))+Profiles!$C$4*I263)/1000000+Profiles!$D$4*IF(L263="",0,L263))</f>
        <v/>
      </c>
      <c r="N263" s="12">
        <f>IF(OR(H263="",I263=""),"",(Profiles!$B$5*(Profiles!$B$10*H263+Profiles!$B$9*IF(J263="",H263,J263)+Profiles!$B$11*IF(K263="",H263,K263))+Profiles!$C$5*I263)/1000000+Profiles!$D$5*IF(L263="",0,L263))</f>
        <v/>
      </c>
      <c r="O263" s="12">
        <f>IF(OR(H263="",I263=""),"",(Profiles!$B$6*(Profiles!$B$10*H263+Profiles!$B$9*IF(J263="",H263,J263)+Profiles!$B$11*IF(K263="",H263,K263))+Profiles!$C$6*I263)/1000000+Profiles!$D$6*IF(L263="",0,L263))</f>
        <v/>
      </c>
      <c r="P263" s="12">
        <f>IF(OR(H263="",I263=""),"",(Profiles!$B$5*(Profiles!$B$10*H263+Profiles!$B$9*H263+Profiles!$B$11*H263)+Profiles!$C$5*I263)/1000000+Profiles!$D$5*IF(L263="",0,L263))</f>
        <v/>
      </c>
      <c r="Q263" t="inlineStr">
        <is>
          <t>2026-05-27</t>
        </is>
      </c>
    </row>
    <row r="264">
      <c r="A264" t="inlineStr">
        <is>
          <t>anthropic/claude-opus-4.7:batch</t>
        </is>
      </c>
      <c r="B264" t="inlineStr">
        <is>
          <t>Anthropic: Claude Opus 4.7 (batch)</t>
        </is>
      </c>
      <c r="D264" t="inlineStr">
        <is>
          <t>yes</t>
        </is>
      </c>
      <c r="E264" t="inlineStr">
        <is>
          <t>yes</t>
        </is>
      </c>
      <c r="F264" s="10" t="n">
        <v>1000000</v>
      </c>
      <c r="G264" t="inlineStr">
        <is>
          <t>batch (not interactive)</t>
        </is>
      </c>
      <c r="H264" s="11" t="n">
        <v>2.5</v>
      </c>
      <c r="I264" s="11" t="n">
        <v>12.5</v>
      </c>
      <c r="J264" s="11" t="n">
        <v>0.25</v>
      </c>
      <c r="K264" s="11" t="n">
        <v>3.125</v>
      </c>
      <c r="L264" s="11" t="n"/>
      <c r="M264" s="12">
        <f>IF(OR(H264="",I264=""),"",(Profiles!$B$4*(Profiles!$B$10*H264+Profiles!$B$9*IF(J264="",H264,J264)+Profiles!$B$11*IF(K264="",H264,K264))+Profiles!$C$4*I264)/1000000+Profiles!$D$4*IF(L264="",0,L264))</f>
        <v/>
      </c>
      <c r="N264" s="12">
        <f>IF(OR(H264="",I264=""),"",(Profiles!$B$5*(Profiles!$B$10*H264+Profiles!$B$9*IF(J264="",H264,J264)+Profiles!$B$11*IF(K264="",H264,K264))+Profiles!$C$5*I264)/1000000+Profiles!$D$5*IF(L264="",0,L264))</f>
        <v/>
      </c>
      <c r="O264" s="12">
        <f>IF(OR(H264="",I264=""),"",(Profiles!$B$6*(Profiles!$B$10*H264+Profiles!$B$9*IF(J264="",H264,J264)+Profiles!$B$11*IF(K264="",H264,K264))+Profiles!$C$6*I264)/1000000+Profiles!$D$6*IF(L264="",0,L264))</f>
        <v/>
      </c>
      <c r="P264" s="12">
        <f>IF(OR(H264="",I264=""),"",(Profiles!$B$5*(Profiles!$B$10*H264+Profiles!$B$9*H264+Profiles!$B$11*H264)+Profiles!$C$5*I264)/1000000+Profiles!$D$5*IF(L264="",0,L264))</f>
        <v/>
      </c>
      <c r="Q264" t="inlineStr">
        <is>
          <t>2026-04-16</t>
        </is>
      </c>
    </row>
    <row r="265">
      <c r="A265" t="inlineStr">
        <is>
          <t>anthropic/claude-opus-4.6:batch</t>
        </is>
      </c>
      <c r="B265" t="inlineStr">
        <is>
          <t>Anthropic: Claude Opus 4.6 (batch)</t>
        </is>
      </c>
      <c r="D265" t="inlineStr">
        <is>
          <t>yes</t>
        </is>
      </c>
      <c r="E265" t="inlineStr">
        <is>
          <t>yes</t>
        </is>
      </c>
      <c r="F265" s="10" t="n">
        <v>1000000</v>
      </c>
      <c r="G265" t="inlineStr">
        <is>
          <t>batch (not interactive)</t>
        </is>
      </c>
      <c r="H265" s="11" t="n">
        <v>2.5</v>
      </c>
      <c r="I265" s="11" t="n">
        <v>12.5</v>
      </c>
      <c r="J265" s="11" t="n">
        <v>0.25</v>
      </c>
      <c r="K265" s="11" t="n">
        <v>3.125</v>
      </c>
      <c r="L265" s="11" t="n"/>
      <c r="M265" s="12">
        <f>IF(OR(H265="",I265=""),"",(Profiles!$B$4*(Profiles!$B$10*H265+Profiles!$B$9*IF(J265="",H265,J265)+Profiles!$B$11*IF(K265="",H265,K265))+Profiles!$C$4*I265)/1000000+Profiles!$D$4*IF(L265="",0,L265))</f>
        <v/>
      </c>
      <c r="N265" s="12">
        <f>IF(OR(H265="",I265=""),"",(Profiles!$B$5*(Profiles!$B$10*H265+Profiles!$B$9*IF(J265="",H265,J265)+Profiles!$B$11*IF(K265="",H265,K265))+Profiles!$C$5*I265)/1000000+Profiles!$D$5*IF(L265="",0,L265))</f>
        <v/>
      </c>
      <c r="O265" s="12">
        <f>IF(OR(H265="",I265=""),"",(Profiles!$B$6*(Profiles!$B$10*H265+Profiles!$B$9*IF(J265="",H265,J265)+Profiles!$B$11*IF(K265="",H265,K265))+Profiles!$C$6*I265)/1000000+Profiles!$D$6*IF(L265="",0,L265))</f>
        <v/>
      </c>
      <c r="P265" s="12">
        <f>IF(OR(H265="",I265=""),"",(Profiles!$B$5*(Profiles!$B$10*H265+Profiles!$B$9*H265+Profiles!$B$11*H265)+Profiles!$C$5*I265)/1000000+Profiles!$D$5*IF(L265="",0,L265))</f>
        <v/>
      </c>
      <c r="Q265" t="inlineStr">
        <is>
          <t>2026-02-04</t>
        </is>
      </c>
    </row>
    <row r="266">
      <c r="A266" t="inlineStr">
        <is>
          <t>anthropic/claude-opus-4.5:batch</t>
        </is>
      </c>
      <c r="B266" t="inlineStr">
        <is>
          <t>Anthropic: Claude Opus 4.5 (batch)</t>
        </is>
      </c>
      <c r="D266" t="inlineStr">
        <is>
          <t>yes</t>
        </is>
      </c>
      <c r="E266" t="inlineStr">
        <is>
          <t>yes</t>
        </is>
      </c>
      <c r="F266" s="10" t="n">
        <v>200000</v>
      </c>
      <c r="G266" t="inlineStr">
        <is>
          <t>batch (not interactive)</t>
        </is>
      </c>
      <c r="H266" s="11" t="n">
        <v>2.5</v>
      </c>
      <c r="I266" s="11" t="n">
        <v>12.5</v>
      </c>
      <c r="J266" s="11" t="n">
        <v>0.25</v>
      </c>
      <c r="K266" s="11" t="n">
        <v>3.125</v>
      </c>
      <c r="L266" s="11" t="n"/>
      <c r="M266" s="12">
        <f>IF(OR(H266="",I266=""),"",(Profiles!$B$4*(Profiles!$B$10*H266+Profiles!$B$9*IF(J266="",H266,J266)+Profiles!$B$11*IF(K266="",H266,K266))+Profiles!$C$4*I266)/1000000+Profiles!$D$4*IF(L266="",0,L266))</f>
        <v/>
      </c>
      <c r="N266" s="12">
        <f>IF(OR(H266="",I266=""),"",(Profiles!$B$5*(Profiles!$B$10*H266+Profiles!$B$9*IF(J266="",H266,J266)+Profiles!$B$11*IF(K266="",H266,K266))+Profiles!$C$5*I266)/1000000+Profiles!$D$5*IF(L266="",0,L266))</f>
        <v/>
      </c>
      <c r="O266" s="12">
        <f>IF(OR(H266="",I266=""),"",(Profiles!$B$6*(Profiles!$B$10*H266+Profiles!$B$9*IF(J266="",H266,J266)+Profiles!$B$11*IF(K266="",H266,K266))+Profiles!$C$6*I266)/1000000+Profiles!$D$6*IF(L266="",0,L266))</f>
        <v/>
      </c>
      <c r="P266" s="12">
        <f>IF(OR(H266="",I266=""),"",(Profiles!$B$5*(Profiles!$B$10*H266+Profiles!$B$9*H266+Profiles!$B$11*H266)+Profiles!$C$5*I266)/1000000+Profiles!$D$5*IF(L266="",0,L266))</f>
        <v/>
      </c>
      <c r="Q266" t="inlineStr">
        <is>
          <t>2025-11-24</t>
        </is>
      </c>
    </row>
    <row r="267">
      <c r="A267" t="inlineStr">
        <is>
          <t>openai/gpt-4o:batch</t>
        </is>
      </c>
      <c r="B267" t="inlineStr">
        <is>
          <t>OpenAI: GPT-4o (batch)</t>
        </is>
      </c>
      <c r="D267" t="inlineStr">
        <is>
          <t>yes</t>
        </is>
      </c>
      <c r="E267" t="inlineStr">
        <is>
          <t>yes</t>
        </is>
      </c>
      <c r="F267" s="10" t="n">
        <v>128000</v>
      </c>
      <c r="G267" t="inlineStr">
        <is>
          <t>batch (not interactive)</t>
        </is>
      </c>
      <c r="H267" s="11" t="n">
        <v>1.25</v>
      </c>
      <c r="I267" s="11" t="n">
        <v>5</v>
      </c>
      <c r="J267" s="11" t="n">
        <v>0.625</v>
      </c>
      <c r="K267" s="11" t="n"/>
      <c r="L267" s="11" t="n"/>
      <c r="M267" s="12">
        <f>IF(OR(H267="",I267=""),"",(Profiles!$B$4*(Profiles!$B$10*H267+Profiles!$B$9*IF(J267="",H267,J267)+Profiles!$B$11*IF(K267="",H267,K267))+Profiles!$C$4*I267)/1000000+Profiles!$D$4*IF(L267="",0,L267))</f>
        <v/>
      </c>
      <c r="N267" s="12">
        <f>IF(OR(H267="",I267=""),"",(Profiles!$B$5*(Profiles!$B$10*H267+Profiles!$B$9*IF(J267="",H267,J267)+Profiles!$B$11*IF(K267="",H267,K267))+Profiles!$C$5*I267)/1000000+Profiles!$D$5*IF(L267="",0,L267))</f>
        <v/>
      </c>
      <c r="O267" s="12">
        <f>IF(OR(H267="",I267=""),"",(Profiles!$B$6*(Profiles!$B$10*H267+Profiles!$B$9*IF(J267="",H267,J267)+Profiles!$B$11*IF(K267="",H267,K267))+Profiles!$C$6*I267)/1000000+Profiles!$D$6*IF(L267="",0,L267))</f>
        <v/>
      </c>
      <c r="P267" s="12">
        <f>IF(OR(H267="",I267=""),"",(Profiles!$B$5*(Profiles!$B$10*H267+Profiles!$B$9*H267+Profiles!$B$11*H267)+Profiles!$C$5*I267)/1000000+Profiles!$D$5*IF(L267="",0,L267))</f>
        <v/>
      </c>
      <c r="Q267" t="inlineStr">
        <is>
          <t>2024-05-13</t>
        </is>
      </c>
    </row>
    <row r="268">
      <c r="A268" t="inlineStr">
        <is>
          <t>mistralai/mistral-medium-3-5:batch</t>
        </is>
      </c>
      <c r="B268" t="inlineStr">
        <is>
          <t>Mistral: Mistral Medium 3.5 (batch)</t>
        </is>
      </c>
      <c r="D268" t="inlineStr">
        <is>
          <t>yes</t>
        </is>
      </c>
      <c r="E268" t="inlineStr">
        <is>
          <t>yes</t>
        </is>
      </c>
      <c r="F268" s="10" t="n">
        <v>262144</v>
      </c>
      <c r="G268" t="inlineStr">
        <is>
          <t>batch (not interactive)</t>
        </is>
      </c>
      <c r="H268" s="11" t="n">
        <v>0.75</v>
      </c>
      <c r="I268" s="11" t="n">
        <v>3.75</v>
      </c>
      <c r="J268" s="11" t="n"/>
      <c r="K268" s="11" t="n"/>
      <c r="L268" s="11" t="n"/>
      <c r="M268" s="12">
        <f>IF(OR(H268="",I268=""),"",(Profiles!$B$4*(Profiles!$B$10*H268+Profiles!$B$9*IF(J268="",H268,J268)+Profiles!$B$11*IF(K268="",H268,K268))+Profiles!$C$4*I268)/1000000+Profiles!$D$4*IF(L268="",0,L268))</f>
        <v/>
      </c>
      <c r="N268" s="12">
        <f>IF(OR(H268="",I268=""),"",(Profiles!$B$5*(Profiles!$B$10*H268+Profiles!$B$9*IF(J268="",H268,J268)+Profiles!$B$11*IF(K268="",H268,K268))+Profiles!$C$5*I268)/1000000+Profiles!$D$5*IF(L268="",0,L268))</f>
        <v/>
      </c>
      <c r="O268" s="12">
        <f>IF(OR(H268="",I268=""),"",(Profiles!$B$6*(Profiles!$B$10*H268+Profiles!$B$9*IF(J268="",H268,J268)+Profiles!$B$11*IF(K268="",H268,K268))+Profiles!$C$6*I268)/1000000+Profiles!$D$6*IF(L268="",0,L268))</f>
        <v/>
      </c>
      <c r="P268" s="12">
        <f>IF(OR(H268="",I268=""),"",(Profiles!$B$5*(Profiles!$B$10*H268+Profiles!$B$9*H268+Profiles!$B$11*H268)+Profiles!$C$5*I268)/1000000+Profiles!$D$5*IF(L268="",0,L268))</f>
        <v/>
      </c>
      <c r="Q268" t="inlineStr">
        <is>
          <t>2026-04-30</t>
        </is>
      </c>
    </row>
    <row r="269">
      <c r="A269" t="inlineStr">
        <is>
          <t>anthropic/claude-fable-5.1:batch</t>
        </is>
      </c>
      <c r="B269" t="inlineStr">
        <is>
          <t>Anthropic: Claude Fable 5.1 (batch)</t>
        </is>
      </c>
      <c r="D269" t="inlineStr">
        <is>
          <t>yes</t>
        </is>
      </c>
      <c r="E269" t="inlineStr">
        <is>
          <t>yes</t>
        </is>
      </c>
      <c r="F269" s="10" t="n">
        <v>1000000</v>
      </c>
      <c r="G269" t="inlineStr">
        <is>
          <t>batch (not interactive)</t>
        </is>
      </c>
      <c r="H269" s="11" t="n">
        <v>5</v>
      </c>
      <c r="I269" s="11" t="n">
        <v>25</v>
      </c>
      <c r="J269" s="11" t="n">
        <v>0.125</v>
      </c>
      <c r="K269" s="11" t="n">
        <v>6.25</v>
      </c>
      <c r="L269" s="11" t="n"/>
      <c r="M269" s="12">
        <f>IF(OR(H269="",I269=""),"",(Profiles!$B$4*(Profiles!$B$10*H269+Profiles!$B$9*IF(J269="",H269,J269)+Profiles!$B$11*IF(K269="",H269,K269))+Profiles!$C$4*I269)/1000000+Profiles!$D$4*IF(L269="",0,L269))</f>
        <v/>
      </c>
      <c r="N269" s="12">
        <f>IF(OR(H269="",I269=""),"",(Profiles!$B$5*(Profiles!$B$10*H269+Profiles!$B$9*IF(J269="",H269,J269)+Profiles!$B$11*IF(K269="",H269,K269))+Profiles!$C$5*I269)/1000000+Profiles!$D$5*IF(L269="",0,L269))</f>
        <v/>
      </c>
      <c r="O269" s="12">
        <f>IF(OR(H269="",I269=""),"",(Profiles!$B$6*(Profiles!$B$10*H269+Profiles!$B$9*IF(J269="",H269,J269)+Profiles!$B$11*IF(K269="",H269,K269))+Profiles!$C$6*I269)/1000000+Profiles!$D$6*IF(L269="",0,L269))</f>
        <v/>
      </c>
      <c r="P269" s="12">
        <f>IF(OR(H269="",I269=""),"",(Profiles!$B$5*(Profiles!$B$10*H269+Profiles!$B$9*H269+Profiles!$B$11*H269)+Profiles!$C$5*I269)/1000000+Profiles!$D$5*IF(L269="",0,L269))</f>
        <v/>
      </c>
      <c r="Q269" t="inlineStr">
        <is>
          <t>2026-09-01</t>
        </is>
      </c>
    </row>
    <row r="270">
      <c r="A270" t="inlineStr">
        <is>
          <t>perplexity/sonar</t>
        </is>
      </c>
      <c r="B270" t="inlineStr">
        <is>
          <t>Perplexity: Sonar</t>
        </is>
      </c>
      <c r="D270" t="inlineStr">
        <is>
          <t>no</t>
        </is>
      </c>
      <c r="E270" t="inlineStr">
        <is>
          <t>yes</t>
        </is>
      </c>
      <c r="F270" s="10" t="n">
        <v>127072</v>
      </c>
      <c r="H270" s="11" t="n">
        <v>1</v>
      </c>
      <c r="I270" s="11" t="n">
        <v>1</v>
      </c>
      <c r="J270" s="11" t="n"/>
      <c r="K270" s="11" t="n"/>
      <c r="L270" s="11" t="n"/>
      <c r="M270" s="12">
        <f>IF(OR(H270="",I270=""),"",(Profiles!$B$4*(Profiles!$B$10*H270+Profiles!$B$9*IF(J270="",H270,J270)+Profiles!$B$11*IF(K270="",H270,K270))+Profiles!$C$4*I270)/1000000+Profiles!$D$4*IF(L270="",0,L270))</f>
        <v/>
      </c>
      <c r="N270" s="12">
        <f>IF(OR(H270="",I270=""),"",(Profiles!$B$5*(Profiles!$B$10*H270+Profiles!$B$9*IF(J270="",H270,J270)+Profiles!$B$11*IF(K270="",H270,K270))+Profiles!$C$5*I270)/1000000+Profiles!$D$5*IF(L270="",0,L270))</f>
        <v/>
      </c>
      <c r="O270" s="12">
        <f>IF(OR(H270="",I270=""),"",(Profiles!$B$6*(Profiles!$B$10*H270+Profiles!$B$9*IF(J270="",H270,J270)+Profiles!$B$11*IF(K270="",H270,K270))+Profiles!$C$6*I270)/1000000+Profiles!$D$6*IF(L270="",0,L270))</f>
        <v/>
      </c>
      <c r="P270" s="12">
        <f>IF(OR(H270="",I270=""),"",(Profiles!$B$5*(Profiles!$B$10*H270+Profiles!$B$9*H270+Profiles!$B$11*H270)+Profiles!$C$5*I270)/1000000+Profiles!$D$5*IF(L270="",0,L270))</f>
        <v/>
      </c>
      <c r="Q270" t="inlineStr">
        <is>
          <t>2025-01-27</t>
        </is>
      </c>
    </row>
    <row r="271">
      <c r="A271" t="inlineStr">
        <is>
          <t>google/gemini-3.1-pro-preview:batch</t>
        </is>
      </c>
      <c r="B271" t="inlineStr">
        <is>
          <t>Google: Gemini 3.1 Pro Preview (batch)</t>
        </is>
      </c>
      <c r="D271" t="inlineStr">
        <is>
          <t>yes</t>
        </is>
      </c>
      <c r="E271" t="inlineStr">
        <is>
          <t>yes</t>
        </is>
      </c>
      <c r="F271" s="10" t="n">
        <v>1048576</v>
      </c>
      <c r="G271" t="inlineStr">
        <is>
          <t>batch (not interactive)</t>
        </is>
      </c>
      <c r="H271" s="11" t="n">
        <v>1</v>
      </c>
      <c r="I271" s="11" t="n">
        <v>6</v>
      </c>
      <c r="J271" s="11" t="n"/>
      <c r="K271" s="11" t="n"/>
      <c r="L271" s="11" t="n">
        <v>1e-06</v>
      </c>
      <c r="M271" s="12">
        <f>IF(OR(H271="",I271=""),"",(Profiles!$B$4*(Profiles!$B$10*H271+Profiles!$B$9*IF(J271="",H271,J271)+Profiles!$B$11*IF(K271="",H271,K271))+Profiles!$C$4*I271)/1000000+Profiles!$D$4*IF(L271="",0,L271))</f>
        <v/>
      </c>
      <c r="N271" s="12">
        <f>IF(OR(H271="",I271=""),"",(Profiles!$B$5*(Profiles!$B$10*H271+Profiles!$B$9*IF(J271="",H271,J271)+Profiles!$B$11*IF(K271="",H271,K271))+Profiles!$C$5*I271)/1000000+Profiles!$D$5*IF(L271="",0,L271))</f>
        <v/>
      </c>
      <c r="O271" s="12">
        <f>IF(OR(H271="",I271=""),"",(Profiles!$B$6*(Profiles!$B$10*H271+Profiles!$B$9*IF(J271="",H271,J271)+Profiles!$B$11*IF(K271="",H271,K271))+Profiles!$C$6*I271)/1000000+Profiles!$D$6*IF(L271="",0,L271))</f>
        <v/>
      </c>
      <c r="P271" s="12">
        <f>IF(OR(H271="",I271=""),"",(Profiles!$B$5*(Profiles!$B$10*H271+Profiles!$B$9*H271+Profiles!$B$11*H271)+Profiles!$C$5*I271)/1000000+Profiles!$D$5*IF(L271="",0,L271))</f>
        <v/>
      </c>
      <c r="Q271" t="inlineStr">
        <is>
          <t>2026-02-19</t>
        </is>
      </c>
    </row>
    <row r="272">
      <c r="A272" t="inlineStr">
        <is>
          <t>openai/gpt-6-astra:batch</t>
        </is>
      </c>
      <c r="B272" t="inlineStr">
        <is>
          <t>OpenAI: GPT-6 Astra (batch)</t>
        </is>
      </c>
      <c r="D272" t="inlineStr">
        <is>
          <t>yes</t>
        </is>
      </c>
      <c r="E272" t="inlineStr">
        <is>
          <t>yes</t>
        </is>
      </c>
      <c r="F272" s="10" t="n">
        <v>1050000</v>
      </c>
      <c r="G272" t="inlineStr">
        <is>
          <t>batch (not interactive)</t>
        </is>
      </c>
      <c r="H272" s="11" t="n">
        <v>5</v>
      </c>
      <c r="I272" s="11" t="n">
        <v>25</v>
      </c>
      <c r="J272" s="11" t="n">
        <v>0.5</v>
      </c>
      <c r="K272" s="11" t="n">
        <v>6.25</v>
      </c>
      <c r="L272" s="11" t="n"/>
      <c r="M272" s="12">
        <f>IF(OR(H272="",I272=""),"",(Profiles!$B$4*(Profiles!$B$10*H272+Profiles!$B$9*IF(J272="",H272,J272)+Profiles!$B$11*IF(K272="",H272,K272))+Profiles!$C$4*I272)/1000000+Profiles!$D$4*IF(L272="",0,L272))</f>
        <v/>
      </c>
      <c r="N272" s="12">
        <f>IF(OR(H272="",I272=""),"",(Profiles!$B$5*(Profiles!$B$10*H272+Profiles!$B$9*IF(J272="",H272,J272)+Profiles!$B$11*IF(K272="",H272,K272))+Profiles!$C$5*I272)/1000000+Profiles!$D$5*IF(L272="",0,L272))</f>
        <v/>
      </c>
      <c r="O272" s="12">
        <f>IF(OR(H272="",I272=""),"",(Profiles!$B$6*(Profiles!$B$10*H272+Profiles!$B$9*IF(J272="",H272,J272)+Profiles!$B$11*IF(K272="",H272,K272))+Profiles!$C$6*I272)/1000000+Profiles!$D$6*IF(L272="",0,L272))</f>
        <v/>
      </c>
      <c r="P272" s="12">
        <f>IF(OR(H272="",I272=""),"",(Profiles!$B$5*(Profiles!$B$10*H272+Profiles!$B$9*H272+Profiles!$B$11*H272)+Profiles!$C$5*I272)/1000000+Profiles!$D$5*IF(L272="",0,L272))</f>
        <v/>
      </c>
      <c r="Q272" t="inlineStr">
        <is>
          <t>2026-09-04</t>
        </is>
      </c>
    </row>
    <row r="273">
      <c r="A273" t="inlineStr">
        <is>
          <t>openai/gpt-6-astra-pro:batch</t>
        </is>
      </c>
      <c r="B273" t="inlineStr">
        <is>
          <t>OpenAI: GPT-6 Astra Pro (batch)</t>
        </is>
      </c>
      <c r="D273" t="inlineStr">
        <is>
          <t>yes</t>
        </is>
      </c>
      <c r="E273" t="inlineStr">
        <is>
          <t>yes</t>
        </is>
      </c>
      <c r="F273" s="10" t="n">
        <v>1050000</v>
      </c>
      <c r="G273" t="inlineStr">
        <is>
          <t>batch (not interactive)</t>
        </is>
      </c>
      <c r="H273" s="11" t="n">
        <v>5</v>
      </c>
      <c r="I273" s="11" t="n">
        <v>25</v>
      </c>
      <c r="J273" s="11" t="n">
        <v>0.5</v>
      </c>
      <c r="K273" s="11" t="n">
        <v>6.25</v>
      </c>
      <c r="L273" s="11" t="n"/>
      <c r="M273" s="12">
        <f>IF(OR(H273="",I273=""),"",(Profiles!$B$4*(Profiles!$B$10*H273+Profiles!$B$9*IF(J273="",H273,J273)+Profiles!$B$11*IF(K273="",H273,K273))+Profiles!$C$4*I273)/1000000+Profiles!$D$4*IF(L273="",0,L273))</f>
        <v/>
      </c>
      <c r="N273" s="12">
        <f>IF(OR(H273="",I273=""),"",(Profiles!$B$5*(Profiles!$B$10*H273+Profiles!$B$9*IF(J273="",H273,J273)+Profiles!$B$11*IF(K273="",H273,K273))+Profiles!$C$5*I273)/1000000+Profiles!$D$5*IF(L273="",0,L273))</f>
        <v/>
      </c>
      <c r="O273" s="12">
        <f>IF(OR(H273="",I273=""),"",(Profiles!$B$6*(Profiles!$B$10*H273+Profiles!$B$9*IF(J273="",H273,J273)+Profiles!$B$11*IF(K273="",H273,K273))+Profiles!$C$6*I273)/1000000+Profiles!$D$6*IF(L273="",0,L273))</f>
        <v/>
      </c>
      <c r="P273" s="12">
        <f>IF(OR(H273="",I273=""),"",(Profiles!$B$5*(Profiles!$B$10*H273+Profiles!$B$9*H273+Profiles!$B$11*H273)+Profiles!$C$5*I273)/1000000+Profiles!$D$5*IF(L273="",0,L273))</f>
        <v/>
      </c>
      <c r="Q273" t="inlineStr">
        <is>
          <t>2026-09-04</t>
        </is>
      </c>
    </row>
    <row r="274">
      <c r="A274" t="inlineStr">
        <is>
          <t>anthropic/claude-fable-5:batch</t>
        </is>
      </c>
      <c r="B274" t="inlineStr">
        <is>
          <t>Anthropic: Claude Fable 5 (batch)</t>
        </is>
      </c>
      <c r="D274" t="inlineStr">
        <is>
          <t>yes</t>
        </is>
      </c>
      <c r="E274" t="inlineStr">
        <is>
          <t>yes</t>
        </is>
      </c>
      <c r="F274" s="10" t="n">
        <v>1000000</v>
      </c>
      <c r="G274" t="inlineStr">
        <is>
          <t>batch (not interactive)</t>
        </is>
      </c>
      <c r="H274" s="11" t="n">
        <v>5</v>
      </c>
      <c r="I274" s="11" t="n">
        <v>25</v>
      </c>
      <c r="J274" s="11" t="n">
        <v>0.5</v>
      </c>
      <c r="K274" s="11" t="n">
        <v>6.25</v>
      </c>
      <c r="L274" s="11" t="n"/>
      <c r="M274" s="12">
        <f>IF(OR(H274="",I274=""),"",(Profiles!$B$4*(Profiles!$B$10*H274+Profiles!$B$9*IF(J274="",H274,J274)+Profiles!$B$11*IF(K274="",H274,K274))+Profiles!$C$4*I274)/1000000+Profiles!$D$4*IF(L274="",0,L274))</f>
        <v/>
      </c>
      <c r="N274" s="12">
        <f>IF(OR(H274="",I274=""),"",(Profiles!$B$5*(Profiles!$B$10*H274+Profiles!$B$9*IF(J274="",H274,J274)+Profiles!$B$11*IF(K274="",H274,K274))+Profiles!$C$5*I274)/1000000+Profiles!$D$5*IF(L274="",0,L274))</f>
        <v/>
      </c>
      <c r="O274" s="12">
        <f>IF(OR(H274="",I274=""),"",(Profiles!$B$6*(Profiles!$B$10*H274+Profiles!$B$9*IF(J274="",H274,J274)+Profiles!$B$11*IF(K274="",H274,K274))+Profiles!$C$6*I274)/1000000+Profiles!$D$6*IF(L274="",0,L274))</f>
        <v/>
      </c>
      <c r="P274" s="12">
        <f>IF(OR(H274="",I274=""),"",(Profiles!$B$5*(Profiles!$B$10*H274+Profiles!$B$9*H274+Profiles!$B$11*H274)+Profiles!$C$5*I274)/1000000+Profiles!$D$5*IF(L274="",0,L274))</f>
        <v/>
      </c>
      <c r="Q274" t="inlineStr">
        <is>
          <t>2026-06-09</t>
        </is>
      </c>
    </row>
    <row r="275">
      <c r="A275" t="inlineStr">
        <is>
          <t>anthropic/claude-opus-4.1:batch</t>
        </is>
      </c>
      <c r="B275" t="inlineStr">
        <is>
          <t>Anthropic: Claude Opus 4.1 (batch)</t>
        </is>
      </c>
      <c r="D275" t="inlineStr">
        <is>
          <t>yes</t>
        </is>
      </c>
      <c r="E275" t="inlineStr">
        <is>
          <t>yes</t>
        </is>
      </c>
      <c r="F275" s="10" t="n">
        <v>200000</v>
      </c>
      <c r="G275" t="inlineStr">
        <is>
          <t>batch (not interactive)</t>
        </is>
      </c>
      <c r="H275" s="11" t="n">
        <v>7.5</v>
      </c>
      <c r="I275" s="11" t="n">
        <v>37.5</v>
      </c>
      <c r="J275" s="11" t="n">
        <v>0.75</v>
      </c>
      <c r="K275" s="11" t="n">
        <v>9.375</v>
      </c>
      <c r="L275" s="11" t="n"/>
      <c r="M275" s="12">
        <f>IF(OR(H275="",I275=""),"",(Profiles!$B$4*(Profiles!$B$10*H275+Profiles!$B$9*IF(J275="",H275,J275)+Profiles!$B$11*IF(K275="",H275,K275))+Profiles!$C$4*I275)/1000000+Profiles!$D$4*IF(L275="",0,L275))</f>
        <v/>
      </c>
      <c r="N275" s="12">
        <f>IF(OR(H275="",I275=""),"",(Profiles!$B$5*(Profiles!$B$10*H275+Profiles!$B$9*IF(J275="",H275,J275)+Profiles!$B$11*IF(K275="",H275,K275))+Profiles!$C$5*I275)/1000000+Profiles!$D$5*IF(L275="",0,L275))</f>
        <v/>
      </c>
      <c r="O275" s="12">
        <f>IF(OR(H275="",I275=""),"",(Profiles!$B$6*(Profiles!$B$10*H275+Profiles!$B$9*IF(J275="",H275,J275)+Profiles!$B$11*IF(K275="",H275,K275))+Profiles!$C$6*I275)/1000000+Profiles!$D$6*IF(L275="",0,L275))</f>
        <v/>
      </c>
      <c r="P275" s="12">
        <f>IF(OR(H275="",I275=""),"",(Profiles!$B$5*(Profiles!$B$10*H275+Profiles!$B$9*H275+Profiles!$B$11*H275)+Profiles!$C$5*I275)/1000000+Profiles!$D$5*IF(L275="",0,L275))</f>
        <v/>
      </c>
      <c r="Q275" t="inlineStr">
        <is>
          <t>2025-08-05</t>
        </is>
      </c>
    </row>
    <row r="276">
      <c r="A276" t="inlineStr">
        <is>
          <t>perplexity/sonar-reasoning-pro</t>
        </is>
      </c>
      <c r="B276" t="inlineStr">
        <is>
          <t>Perplexity: Sonar Reasoning Pro</t>
        </is>
      </c>
      <c r="D276" t="inlineStr">
        <is>
          <t>no</t>
        </is>
      </c>
      <c r="E276" t="inlineStr">
        <is>
          <t>yes</t>
        </is>
      </c>
      <c r="F276" s="10" t="n">
        <v>128000</v>
      </c>
      <c r="H276" s="11" t="n">
        <v>2</v>
      </c>
      <c r="I276" s="11" t="n">
        <v>8</v>
      </c>
      <c r="J276" s="11" t="n"/>
      <c r="K276" s="11" t="n"/>
      <c r="L276" s="11" t="n"/>
      <c r="M276" s="12">
        <f>IF(OR(H276="",I276=""),"",(Profiles!$B$4*(Profiles!$B$10*H276+Profiles!$B$9*IF(J276="",H276,J276)+Profiles!$B$11*IF(K276="",H276,K276))+Profiles!$C$4*I276)/1000000+Profiles!$D$4*IF(L276="",0,L276))</f>
        <v/>
      </c>
      <c r="N276" s="12">
        <f>IF(OR(H276="",I276=""),"",(Profiles!$B$5*(Profiles!$B$10*H276+Profiles!$B$9*IF(J276="",H276,J276)+Profiles!$B$11*IF(K276="",H276,K276))+Profiles!$C$5*I276)/1000000+Profiles!$D$5*IF(L276="",0,L276))</f>
        <v/>
      </c>
      <c r="O276" s="12">
        <f>IF(OR(H276="",I276=""),"",(Profiles!$B$6*(Profiles!$B$10*H276+Profiles!$B$9*IF(J276="",H276,J276)+Profiles!$B$11*IF(K276="",H276,K276))+Profiles!$C$6*I276)/1000000+Profiles!$D$6*IF(L276="",0,L276))</f>
        <v/>
      </c>
      <c r="P276" s="12">
        <f>IF(OR(H276="",I276=""),"",(Profiles!$B$5*(Profiles!$B$10*H276+Profiles!$B$9*H276+Profiles!$B$11*H276)+Profiles!$C$5*I276)/1000000+Profiles!$D$5*IF(L276="",0,L276))</f>
        <v/>
      </c>
      <c r="Q276" t="inlineStr">
        <is>
          <t>2025-03-07</t>
        </is>
      </c>
    </row>
    <row r="277">
      <c r="A277" t="inlineStr">
        <is>
          <t>openai/gpt-5-image</t>
        </is>
      </c>
      <c r="B277" t="inlineStr">
        <is>
          <t>OpenAI: GPT-5 Image</t>
        </is>
      </c>
      <c r="D277" t="inlineStr">
        <is>
          <t>no</t>
        </is>
      </c>
      <c r="E277" t="inlineStr">
        <is>
          <t>yes</t>
        </is>
      </c>
      <c r="F277" s="10" t="n">
        <v>400000</v>
      </c>
      <c r="H277" s="11" t="n">
        <v>10</v>
      </c>
      <c r="I277" s="11" t="n">
        <v>10</v>
      </c>
      <c r="J277" s="11" t="n">
        <v>1.25</v>
      </c>
      <c r="K277" s="11" t="n"/>
      <c r="L277" s="11" t="n"/>
      <c r="M277" s="12">
        <f>IF(OR(H277="",I277=""),"",(Profiles!$B$4*(Profiles!$B$10*H277+Profiles!$B$9*IF(J277="",H277,J277)+Profiles!$B$11*IF(K277="",H277,K277))+Profiles!$C$4*I277)/1000000+Profiles!$D$4*IF(L277="",0,L277))</f>
        <v/>
      </c>
      <c r="N277" s="12">
        <f>IF(OR(H277="",I277=""),"",(Profiles!$B$5*(Profiles!$B$10*H277+Profiles!$B$9*IF(J277="",H277,J277)+Profiles!$B$11*IF(K277="",H277,K277))+Profiles!$C$5*I277)/1000000+Profiles!$D$5*IF(L277="",0,L277))</f>
        <v/>
      </c>
      <c r="O277" s="12">
        <f>IF(OR(H277="",I277=""),"",(Profiles!$B$6*(Profiles!$B$10*H277+Profiles!$B$9*IF(J277="",H277,J277)+Profiles!$B$11*IF(K277="",H277,K277))+Profiles!$C$6*I277)/1000000+Profiles!$D$6*IF(L277="",0,L277))</f>
        <v/>
      </c>
      <c r="P277" s="12">
        <f>IF(OR(H277="",I277=""),"",(Profiles!$B$5*(Profiles!$B$10*H277+Profiles!$B$9*H277+Profiles!$B$11*H277)+Profiles!$C$5*I277)/1000000+Profiles!$D$5*IF(L277="",0,L277))</f>
        <v/>
      </c>
      <c r="Q277" t="inlineStr">
        <is>
          <t>2025-10-14</t>
        </is>
      </c>
    </row>
    <row r="278">
      <c r="A278" t="inlineStr">
        <is>
          <t>openai/gpt-5.4-image-2</t>
        </is>
      </c>
      <c r="B278" t="inlineStr">
        <is>
          <t>OpenAI: GPT-5.4 Image 2</t>
        </is>
      </c>
      <c r="D278" t="inlineStr">
        <is>
          <t>no</t>
        </is>
      </c>
      <c r="E278" t="inlineStr">
        <is>
          <t>yes</t>
        </is>
      </c>
      <c r="F278" s="10" t="n">
        <v>272000</v>
      </c>
      <c r="H278" s="11" t="n">
        <v>8</v>
      </c>
      <c r="I278" s="11" t="n">
        <v>15</v>
      </c>
      <c r="J278" s="11" t="n">
        <v>2</v>
      </c>
      <c r="K278" s="11" t="n"/>
      <c r="L278" s="11" t="n"/>
      <c r="M278" s="12">
        <f>IF(OR(H278="",I278=""),"",(Profiles!$B$4*(Profiles!$B$10*H278+Profiles!$B$9*IF(J278="",H278,J278)+Profiles!$B$11*IF(K278="",H278,K278))+Profiles!$C$4*I278)/1000000+Profiles!$D$4*IF(L278="",0,L278))</f>
        <v/>
      </c>
      <c r="N278" s="12">
        <f>IF(OR(H278="",I278=""),"",(Profiles!$B$5*(Profiles!$B$10*H278+Profiles!$B$9*IF(J278="",H278,J278)+Profiles!$B$11*IF(K278="",H278,K278))+Profiles!$C$5*I278)/1000000+Profiles!$D$5*IF(L278="",0,L278))</f>
        <v/>
      </c>
      <c r="O278" s="12">
        <f>IF(OR(H278="",I278=""),"",(Profiles!$B$6*(Profiles!$B$10*H278+Profiles!$B$9*IF(J278="",H278,J278)+Profiles!$B$11*IF(K278="",H278,K278))+Profiles!$C$6*I278)/1000000+Profiles!$D$6*IF(L278="",0,L278))</f>
        <v/>
      </c>
      <c r="P278" s="12">
        <f>IF(OR(H278="",I278=""),"",(Profiles!$B$5*(Profiles!$B$10*H278+Profiles!$B$9*H278+Profiles!$B$11*H278)+Profiles!$C$5*I278)/1000000+Profiles!$D$5*IF(L278="",0,L278))</f>
        <v/>
      </c>
      <c r="Q278" t="inlineStr">
        <is>
          <t>2026-04-21</t>
        </is>
      </c>
    </row>
    <row r="279">
      <c r="A279" t="inlineStr">
        <is>
          <t>perplexity/sonar-pro-search</t>
        </is>
      </c>
      <c r="B279" t="inlineStr">
        <is>
          <t>Perplexity: Sonar Pro Search</t>
        </is>
      </c>
      <c r="D279" t="inlineStr">
        <is>
          <t>no</t>
        </is>
      </c>
      <c r="E279" t="inlineStr">
        <is>
          <t>yes</t>
        </is>
      </c>
      <c r="F279" s="10" t="n">
        <v>200000</v>
      </c>
      <c r="H279" s="11" t="n">
        <v>3</v>
      </c>
      <c r="I279" s="11" t="n">
        <v>15</v>
      </c>
      <c r="J279" s="11" t="n"/>
      <c r="K279" s="11" t="n"/>
      <c r="L279" s="11" t="n"/>
      <c r="M279" s="12">
        <f>IF(OR(H279="",I279=""),"",(Profiles!$B$4*(Profiles!$B$10*H279+Profiles!$B$9*IF(J279="",H279,J279)+Profiles!$B$11*IF(K279="",H279,K279))+Profiles!$C$4*I279)/1000000+Profiles!$D$4*IF(L279="",0,L279))</f>
        <v/>
      </c>
      <c r="N279" s="12">
        <f>IF(OR(H279="",I279=""),"",(Profiles!$B$5*(Profiles!$B$10*H279+Profiles!$B$9*IF(J279="",H279,J279)+Profiles!$B$11*IF(K279="",H279,K279))+Profiles!$C$5*I279)/1000000+Profiles!$D$5*IF(L279="",0,L279))</f>
        <v/>
      </c>
      <c r="O279" s="12">
        <f>IF(OR(H279="",I279=""),"",(Profiles!$B$6*(Profiles!$B$10*H279+Profiles!$B$9*IF(J279="",H279,J279)+Profiles!$B$11*IF(K279="",H279,K279))+Profiles!$C$6*I279)/1000000+Profiles!$D$6*IF(L279="",0,L279))</f>
        <v/>
      </c>
      <c r="P279" s="12">
        <f>IF(OR(H279="",I279=""),"",(Profiles!$B$5*(Profiles!$B$10*H279+Profiles!$B$9*H279+Profiles!$B$11*H279)+Profiles!$C$5*I279)/1000000+Profiles!$D$5*IF(L279="",0,L279))</f>
        <v/>
      </c>
      <c r="Q279" t="inlineStr">
        <is>
          <t>2025-10-30</t>
        </is>
      </c>
    </row>
    <row r="280">
      <c r="A280" t="inlineStr">
        <is>
          <t>perplexity/sonar-pro</t>
        </is>
      </c>
      <c r="B280" t="inlineStr">
        <is>
          <t>Perplexity: Sonar Pro</t>
        </is>
      </c>
      <c r="D280" t="inlineStr">
        <is>
          <t>no</t>
        </is>
      </c>
      <c r="E280" t="inlineStr">
        <is>
          <t>yes</t>
        </is>
      </c>
      <c r="F280" s="10" t="n">
        <v>200000</v>
      </c>
      <c r="H280" s="11" t="n">
        <v>3</v>
      </c>
      <c r="I280" s="11" t="n">
        <v>15</v>
      </c>
      <c r="J280" s="11" t="n"/>
      <c r="K280" s="11" t="n"/>
      <c r="L280" s="11" t="n"/>
      <c r="M280" s="12">
        <f>IF(OR(H280="",I280=""),"",(Profiles!$B$4*(Profiles!$B$10*H280+Profiles!$B$9*IF(J280="",H280,J280)+Profiles!$B$11*IF(K280="",H280,K280))+Profiles!$C$4*I280)/1000000+Profiles!$D$4*IF(L280="",0,L280))</f>
        <v/>
      </c>
      <c r="N280" s="12">
        <f>IF(OR(H280="",I280=""),"",(Profiles!$B$5*(Profiles!$B$10*H280+Profiles!$B$9*IF(J280="",H280,J280)+Profiles!$B$11*IF(K280="",H280,K280))+Profiles!$C$5*I280)/1000000+Profiles!$D$5*IF(L280="",0,L280))</f>
        <v/>
      </c>
      <c r="O280" s="12">
        <f>IF(OR(H280="",I280=""),"",(Profiles!$B$6*(Profiles!$B$10*H280+Profiles!$B$9*IF(J280="",H280,J280)+Profiles!$B$11*IF(K280="",H280,K280))+Profiles!$C$6*I280)/1000000+Profiles!$D$6*IF(L280="",0,L280))</f>
        <v/>
      </c>
      <c r="P280" s="12">
        <f>IF(OR(H280="",I280=""),"",(Profiles!$B$5*(Profiles!$B$10*H280+Profiles!$B$9*H280+Profiles!$B$11*H280)+Profiles!$C$5*I280)/1000000+Profiles!$D$5*IF(L280="",0,L280))</f>
        <v/>
      </c>
      <c r="Q280" t="inlineStr">
        <is>
          <t>2025-03-07</t>
        </is>
      </c>
    </row>
    <row r="281">
      <c r="A281" t="inlineStr">
        <is>
          <t>openai/gpt-4-turbo:batch</t>
        </is>
      </c>
      <c r="B281" t="inlineStr">
        <is>
          <t>OpenAI: GPT-4 Turbo (batch)</t>
        </is>
      </c>
      <c r="D281" t="inlineStr">
        <is>
          <t>yes</t>
        </is>
      </c>
      <c r="E281" t="inlineStr">
        <is>
          <t>yes</t>
        </is>
      </c>
      <c r="F281" s="10" t="n">
        <v>128000</v>
      </c>
      <c r="G281" t="inlineStr">
        <is>
          <t>batch (not interactive)</t>
        </is>
      </c>
      <c r="H281" s="11" t="n">
        <v>5</v>
      </c>
      <c r="I281" s="11" t="n">
        <v>15</v>
      </c>
      <c r="J281" s="11" t="n"/>
      <c r="K281" s="11" t="n"/>
      <c r="L281" s="11" t="n"/>
      <c r="M281" s="12">
        <f>IF(OR(H281="",I281=""),"",(Profiles!$B$4*(Profiles!$B$10*H281+Profiles!$B$9*IF(J281="",H281,J281)+Profiles!$B$11*IF(K281="",H281,K281))+Profiles!$C$4*I281)/1000000+Profiles!$D$4*IF(L281="",0,L281))</f>
        <v/>
      </c>
      <c r="N281" s="12">
        <f>IF(OR(H281="",I281=""),"",(Profiles!$B$5*(Profiles!$B$10*H281+Profiles!$B$9*IF(J281="",H281,J281)+Profiles!$B$11*IF(K281="",H281,K281))+Profiles!$C$5*I281)/1000000+Profiles!$D$5*IF(L281="",0,L281))</f>
        <v/>
      </c>
      <c r="O281" s="12">
        <f>IF(OR(H281="",I281=""),"",(Profiles!$B$6*(Profiles!$B$10*H281+Profiles!$B$9*IF(J281="",H281,J281)+Profiles!$B$11*IF(K281="",H281,K281))+Profiles!$C$6*I281)/1000000+Profiles!$D$6*IF(L281="",0,L281))</f>
        <v/>
      </c>
      <c r="P281" s="12">
        <f>IF(OR(H281="",I281=""),"",(Profiles!$B$5*(Profiles!$B$10*H281+Profiles!$B$9*H281+Profiles!$B$11*H281)+Profiles!$C$5*I281)/1000000+Profiles!$D$5*IF(L281="",0,L281))</f>
        <v/>
      </c>
      <c r="Q281" t="inlineStr">
        <is>
          <t>2024-04-09</t>
        </is>
      </c>
    </row>
    <row r="282">
      <c r="A282" t="inlineStr">
        <is>
          <t>openai/gpt-5-pro:batch</t>
        </is>
      </c>
      <c r="B282" t="inlineStr">
        <is>
          <t>OpenAI: GPT-5 Pro (batch)</t>
        </is>
      </c>
      <c r="D282" t="inlineStr">
        <is>
          <t>yes</t>
        </is>
      </c>
      <c r="E282" t="inlineStr">
        <is>
          <t>yes</t>
        </is>
      </c>
      <c r="F282" s="10" t="n">
        <v>400000</v>
      </c>
      <c r="G282" t="inlineStr">
        <is>
          <t>batch (not interactive)</t>
        </is>
      </c>
      <c r="H282" s="11" t="n">
        <v>7.5</v>
      </c>
      <c r="I282" s="11" t="n">
        <v>60</v>
      </c>
      <c r="J282" s="11" t="n"/>
      <c r="K282" s="11" t="n"/>
      <c r="L282" s="11" t="n"/>
      <c r="M282" s="12">
        <f>IF(OR(H282="",I282=""),"",(Profiles!$B$4*(Profiles!$B$10*H282+Profiles!$B$9*IF(J282="",H282,J282)+Profiles!$B$11*IF(K282="",H282,K282))+Profiles!$C$4*I282)/1000000+Profiles!$D$4*IF(L282="",0,L282))</f>
        <v/>
      </c>
      <c r="N282" s="12">
        <f>IF(OR(H282="",I282=""),"",(Profiles!$B$5*(Profiles!$B$10*H282+Profiles!$B$9*IF(J282="",H282,J282)+Profiles!$B$11*IF(K282="",H282,K282))+Profiles!$C$5*I282)/1000000+Profiles!$D$5*IF(L282="",0,L282))</f>
        <v/>
      </c>
      <c r="O282" s="12">
        <f>IF(OR(H282="",I282=""),"",(Profiles!$B$6*(Profiles!$B$10*H282+Profiles!$B$9*IF(J282="",H282,J282)+Profiles!$B$11*IF(K282="",H282,K282))+Profiles!$C$6*I282)/1000000+Profiles!$D$6*IF(L282="",0,L282))</f>
        <v/>
      </c>
      <c r="P282" s="12">
        <f>IF(OR(H282="",I282=""),"",(Profiles!$B$5*(Profiles!$B$10*H282+Profiles!$B$9*H282+Profiles!$B$11*H282)+Profiles!$C$5*I282)/1000000+Profiles!$D$5*IF(L282="",0,L282))</f>
        <v/>
      </c>
      <c r="Q282" t="inlineStr">
        <is>
          <t>2025-10-06</t>
        </is>
      </c>
    </row>
    <row r="283">
      <c r="A283" t="inlineStr">
        <is>
          <t>openai/gpt-5.2-pro:batch</t>
        </is>
      </c>
      <c r="B283" t="inlineStr">
        <is>
          <t>OpenAI: GPT-5.2 Pro (batch)</t>
        </is>
      </c>
      <c r="D283" t="inlineStr">
        <is>
          <t>yes</t>
        </is>
      </c>
      <c r="E283" t="inlineStr">
        <is>
          <t>yes</t>
        </is>
      </c>
      <c r="F283" s="10" t="n">
        <v>400000</v>
      </c>
      <c r="G283" t="inlineStr">
        <is>
          <t>batch (not interactive)</t>
        </is>
      </c>
      <c r="H283" s="11" t="n">
        <v>10.5</v>
      </c>
      <c r="I283" s="11" t="n">
        <v>84</v>
      </c>
      <c r="J283" s="11" t="n"/>
      <c r="K283" s="11" t="n"/>
      <c r="L283" s="11" t="n"/>
      <c r="M283" s="12">
        <f>IF(OR(H283="",I283=""),"",(Profiles!$B$4*(Profiles!$B$10*H283+Profiles!$B$9*IF(J283="",H283,J283)+Profiles!$B$11*IF(K283="",H283,K283))+Profiles!$C$4*I283)/1000000+Profiles!$D$4*IF(L283="",0,L283))</f>
        <v/>
      </c>
      <c r="N283" s="12">
        <f>IF(OR(H283="",I283=""),"",(Profiles!$B$5*(Profiles!$B$10*H283+Profiles!$B$9*IF(J283="",H283,J283)+Profiles!$B$11*IF(K283="",H283,K283))+Profiles!$C$5*I283)/1000000+Profiles!$D$5*IF(L283="",0,L283))</f>
        <v/>
      </c>
      <c r="O283" s="12">
        <f>IF(OR(H283="",I283=""),"",(Profiles!$B$6*(Profiles!$B$10*H283+Profiles!$B$9*IF(J283="",H283,J283)+Profiles!$B$11*IF(K283="",H283,K283))+Profiles!$C$6*I283)/1000000+Profiles!$D$6*IF(L283="",0,L283))</f>
        <v/>
      </c>
      <c r="P283" s="12">
        <f>IF(OR(H283="",I283=""),"",(Profiles!$B$5*(Profiles!$B$10*H283+Profiles!$B$9*H283+Profiles!$B$11*H283)+Profiles!$C$5*I283)/1000000+Profiles!$D$5*IF(L283="",0,L283))</f>
        <v/>
      </c>
      <c r="Q283" t="inlineStr">
        <is>
          <t>2025-12-10</t>
        </is>
      </c>
    </row>
    <row r="284">
      <c r="A284" t="inlineStr">
        <is>
          <t>openai/gpt-5.5-pro:batch</t>
        </is>
      </c>
      <c r="B284" t="inlineStr">
        <is>
          <t>OpenAI: GPT-5.5 Pro (batch)</t>
        </is>
      </c>
      <c r="D284" t="inlineStr">
        <is>
          <t>yes</t>
        </is>
      </c>
      <c r="E284" t="inlineStr">
        <is>
          <t>yes</t>
        </is>
      </c>
      <c r="F284" s="10" t="n">
        <v>1050000</v>
      </c>
      <c r="G284" t="inlineStr">
        <is>
          <t>batch (not interactive)</t>
        </is>
      </c>
      <c r="H284" s="11" t="n">
        <v>15</v>
      </c>
      <c r="I284" s="11" t="n">
        <v>90</v>
      </c>
      <c r="J284" s="11" t="n"/>
      <c r="K284" s="11" t="n"/>
      <c r="L284" s="11" t="n"/>
      <c r="M284" s="12">
        <f>IF(OR(H284="",I284=""),"",(Profiles!$B$4*(Profiles!$B$10*H284+Profiles!$B$9*IF(J284="",H284,J284)+Profiles!$B$11*IF(K284="",H284,K284))+Profiles!$C$4*I284)/1000000+Profiles!$D$4*IF(L284="",0,L284))</f>
        <v/>
      </c>
      <c r="N284" s="12">
        <f>IF(OR(H284="",I284=""),"",(Profiles!$B$5*(Profiles!$B$10*H284+Profiles!$B$9*IF(J284="",H284,J284)+Profiles!$B$11*IF(K284="",H284,K284))+Profiles!$C$5*I284)/1000000+Profiles!$D$5*IF(L284="",0,L284))</f>
        <v/>
      </c>
      <c r="O284" s="12">
        <f>IF(OR(H284="",I284=""),"",(Profiles!$B$6*(Profiles!$B$10*H284+Profiles!$B$9*IF(J284="",H284,J284)+Profiles!$B$11*IF(K284="",H284,K284))+Profiles!$C$6*I284)/1000000+Profiles!$D$6*IF(L284="",0,L284))</f>
        <v/>
      </c>
      <c r="P284" s="12">
        <f>IF(OR(H284="",I284=""),"",(Profiles!$B$5*(Profiles!$B$10*H284+Profiles!$B$9*H284+Profiles!$B$11*H284)+Profiles!$C$5*I284)/1000000+Profiles!$D$5*IF(L284="",0,L284))</f>
        <v/>
      </c>
      <c r="Q284" t="inlineStr">
        <is>
          <t>2026-04-24</t>
        </is>
      </c>
    </row>
    <row r="285">
      <c r="A285" t="inlineStr">
        <is>
          <t>openai/gpt-5.4-pro:batch</t>
        </is>
      </c>
      <c r="B285" t="inlineStr">
        <is>
          <t>OpenAI: GPT-5.4 Pro (batch)</t>
        </is>
      </c>
      <c r="D285" t="inlineStr">
        <is>
          <t>yes</t>
        </is>
      </c>
      <c r="E285" t="inlineStr">
        <is>
          <t>yes</t>
        </is>
      </c>
      <c r="F285" s="10" t="n">
        <v>1050000</v>
      </c>
      <c r="G285" t="inlineStr">
        <is>
          <t>batch (not interactive)</t>
        </is>
      </c>
      <c r="H285" s="11" t="n">
        <v>15</v>
      </c>
      <c r="I285" s="11" t="n">
        <v>90</v>
      </c>
      <c r="J285" s="11" t="n"/>
      <c r="K285" s="11" t="n"/>
      <c r="L285" s="11" t="n"/>
      <c r="M285" s="12">
        <f>IF(OR(H285="",I285=""),"",(Profiles!$B$4*(Profiles!$B$10*H285+Profiles!$B$9*IF(J285="",H285,J285)+Profiles!$B$11*IF(K285="",H285,K285))+Profiles!$C$4*I285)/1000000+Profiles!$D$4*IF(L285="",0,L285))</f>
        <v/>
      </c>
      <c r="N285" s="12">
        <f>IF(OR(H285="",I285=""),"",(Profiles!$B$5*(Profiles!$B$10*H285+Profiles!$B$9*IF(J285="",H285,J285)+Profiles!$B$11*IF(K285="",H285,K285))+Profiles!$C$5*I285)/1000000+Profiles!$D$5*IF(L285="",0,L285))</f>
        <v/>
      </c>
      <c r="O285" s="12">
        <f>IF(OR(H285="",I285=""),"",(Profiles!$B$6*(Profiles!$B$10*H285+Profiles!$B$9*IF(J285="",H285,J285)+Profiles!$B$11*IF(K285="",H285,K285))+Profiles!$C$6*I285)/1000000+Profiles!$D$6*IF(L285="",0,L285))</f>
        <v/>
      </c>
      <c r="P285" s="12">
        <f>IF(OR(H285="",I285=""),"",(Profiles!$B$5*(Profiles!$B$10*H285+Profiles!$B$9*H285+Profiles!$B$11*H285)+Profiles!$C$5*I285)/1000000+Profiles!$D$5*IF(L285="",0,L285))</f>
        <v/>
      </c>
      <c r="Q285" t="inlineStr">
        <is>
          <t>2026-03-05</t>
        </is>
      </c>
    </row>
    <row r="286">
      <c r="A286" t="inlineStr">
        <is>
          <t>openai/o1-pro</t>
        </is>
      </c>
      <c r="B286" t="inlineStr">
        <is>
          <t>OpenAI: o1-pro</t>
        </is>
      </c>
      <c r="D286" t="inlineStr">
        <is>
          <t>no</t>
        </is>
      </c>
      <c r="E286" t="inlineStr">
        <is>
          <t>yes</t>
        </is>
      </c>
      <c r="F286" s="10" t="n">
        <v>200000</v>
      </c>
      <c r="H286" s="11" t="n">
        <v>150</v>
      </c>
      <c r="I286" s="11" t="n">
        <v>600</v>
      </c>
      <c r="J286" s="11" t="n"/>
      <c r="K286" s="11" t="n"/>
      <c r="L286" s="11" t="n"/>
      <c r="M286" s="12">
        <f>IF(OR(H286="",I286=""),"",(Profiles!$B$4*(Profiles!$B$10*H286+Profiles!$B$9*IF(J286="",H286,J286)+Profiles!$B$11*IF(K286="",H286,K286))+Profiles!$C$4*I286)/1000000+Profiles!$D$4*IF(L286="",0,L286))</f>
        <v/>
      </c>
      <c r="N286" s="12">
        <f>IF(OR(H286="",I286=""),"",(Profiles!$B$5*(Profiles!$B$10*H286+Profiles!$B$9*IF(J286="",H286,J286)+Profiles!$B$11*IF(K286="",H286,K286))+Profiles!$C$5*I286)/1000000+Profiles!$D$5*IF(L286="",0,L286))</f>
        <v/>
      </c>
      <c r="O286" s="12">
        <f>IF(OR(H286="",I286=""),"",(Profiles!$B$6*(Profiles!$B$10*H286+Profiles!$B$9*IF(J286="",H286,J286)+Profiles!$B$11*IF(K286="",H286,K286))+Profiles!$C$6*I286)/1000000+Profiles!$D$6*IF(L286="",0,L286))</f>
        <v/>
      </c>
      <c r="P286" s="12">
        <f>IF(OR(H286="",I286=""),"",(Profiles!$B$5*(Profiles!$B$10*H286+Profiles!$B$9*H286+Profiles!$B$11*H286)+Profiles!$C$5*I286)/1000000+Profiles!$D$5*IF(L286="",0,L286))</f>
        <v/>
      </c>
      <c r="Q286" t="inlineStr">
        <is>
          <t>2025-03-19</t>
        </is>
      </c>
    </row>
    <row r="287">
      <c r="A287" t="inlineStr">
        <is>
          <t>typesafe/jev-router</t>
        </is>
      </c>
      <c r="B287" t="inlineStr">
        <is>
          <t>TypeSafe: Jev Router</t>
        </is>
      </c>
      <c r="D287" t="inlineStr">
        <is>
          <t>no</t>
        </is>
      </c>
      <c r="E287" t="inlineStr">
        <is>
          <t>yes</t>
        </is>
      </c>
      <c r="F287" s="10" t="n">
        <v>1000000</v>
      </c>
      <c r="G287" t="inlineStr">
        <is>
          <t>router / variable price</t>
        </is>
      </c>
      <c r="H287" s="11" t="n"/>
      <c r="I287" s="11" t="n"/>
      <c r="J287" s="11" t="n"/>
      <c r="K287" s="11" t="n"/>
      <c r="L287" s="11" t="n"/>
      <c r="M287" s="12">
        <f>IF(OR(H287="",I287=""),"",(Profiles!$B$4*(Profiles!$B$10*H287+Profiles!$B$9*IF(J287="",H287,J287)+Profiles!$B$11*IF(K287="",H287,K287))+Profiles!$C$4*I287)/1000000+Profiles!$D$4*IF(L287="",0,L287))</f>
        <v/>
      </c>
      <c r="N287" s="12">
        <f>IF(OR(H287="",I287=""),"",(Profiles!$B$5*(Profiles!$B$10*H287+Profiles!$B$9*IF(J287="",H287,J287)+Profiles!$B$11*IF(K287="",H287,K287))+Profiles!$C$5*I287)/1000000+Profiles!$D$5*IF(L287="",0,L287))</f>
        <v/>
      </c>
      <c r="O287" s="12">
        <f>IF(OR(H287="",I287=""),"",(Profiles!$B$6*(Profiles!$B$10*H287+Profiles!$B$9*IF(J287="",H287,J287)+Profiles!$B$11*IF(K287="",H287,K287))+Profiles!$C$6*I287)/1000000+Profiles!$D$6*IF(L287="",0,L287))</f>
        <v/>
      </c>
      <c r="P287" s="12">
        <f>IF(OR(H287="",I287=""),"",(Profiles!$B$5*(Profiles!$B$10*H287+Profiles!$B$9*H287+Profiles!$B$11*H287)+Profiles!$C$5*I287)/1000000+Profiles!$D$5*IF(L287="",0,L287))</f>
        <v/>
      </c>
      <c r="Q287" t="inlineStr">
        <is>
          <t>2026-09-25</t>
        </is>
      </c>
    </row>
    <row r="288">
      <c r="A288" t="inlineStr">
        <is>
          <t>openrouter/auto-beta</t>
        </is>
      </c>
      <c r="B288" t="inlineStr">
        <is>
          <t>Auto Router (Beta)</t>
        </is>
      </c>
      <c r="D288" t="inlineStr">
        <is>
          <t>yes</t>
        </is>
      </c>
      <c r="E288" t="inlineStr">
        <is>
          <t>yes</t>
        </is>
      </c>
      <c r="F288" s="10" t="n">
        <v>2000000</v>
      </c>
      <c r="G288" t="inlineStr">
        <is>
          <t>router / variable price</t>
        </is>
      </c>
      <c r="H288" s="11" t="n"/>
      <c r="I288" s="11" t="n"/>
      <c r="J288" s="11" t="n"/>
      <c r="K288" s="11" t="n"/>
      <c r="L288" s="11" t="n"/>
      <c r="M288" s="12">
        <f>IF(OR(H288="",I288=""),"",(Profiles!$B$4*(Profiles!$B$10*H288+Profiles!$B$9*IF(J288="",H288,J288)+Profiles!$B$11*IF(K288="",H288,K288))+Profiles!$C$4*I288)/1000000+Profiles!$D$4*IF(L288="",0,L288))</f>
        <v/>
      </c>
      <c r="N288" s="12">
        <f>IF(OR(H288="",I288=""),"",(Profiles!$B$5*(Profiles!$B$10*H288+Profiles!$B$9*IF(J288="",H288,J288)+Profiles!$B$11*IF(K288="",H288,K288))+Profiles!$C$5*I288)/1000000+Profiles!$D$5*IF(L288="",0,L288))</f>
        <v/>
      </c>
      <c r="O288" s="12">
        <f>IF(OR(H288="",I288=""),"",(Profiles!$B$6*(Profiles!$B$10*H288+Profiles!$B$9*IF(J288="",H288,J288)+Profiles!$B$11*IF(K288="",H288,K288))+Profiles!$C$6*I288)/1000000+Profiles!$D$6*IF(L288="",0,L288))</f>
        <v/>
      </c>
      <c r="P288" s="12">
        <f>IF(OR(H288="",I288=""),"",(Profiles!$B$5*(Profiles!$B$10*H288+Profiles!$B$9*H288+Profiles!$B$11*H288)+Profiles!$C$5*I288)/1000000+Profiles!$D$5*IF(L288="",0,L288))</f>
        <v/>
      </c>
      <c r="Q288" t="inlineStr">
        <is>
          <t>2026-07-17</t>
        </is>
      </c>
    </row>
    <row r="289">
      <c r="A289" t="inlineStr">
        <is>
          <t>openrouter/auto</t>
        </is>
      </c>
      <c r="B289" t="inlineStr">
        <is>
          <t>Auto Router</t>
        </is>
      </c>
      <c r="D289" t="inlineStr">
        <is>
          <t>yes</t>
        </is>
      </c>
      <c r="E289" t="inlineStr">
        <is>
          <t>yes</t>
        </is>
      </c>
      <c r="F289" s="10" t="n">
        <v>2000000</v>
      </c>
      <c r="G289" t="inlineStr">
        <is>
          <t>router / variable price</t>
        </is>
      </c>
      <c r="H289" s="11" t="n"/>
      <c r="I289" s="11" t="n"/>
      <c r="J289" s="11" t="n"/>
      <c r="K289" s="11" t="n"/>
      <c r="L289" s="11" t="n"/>
      <c r="M289" s="12">
        <f>IF(OR(H289="",I289=""),"",(Profiles!$B$4*(Profiles!$B$10*H289+Profiles!$B$9*IF(J289="",H289,J289)+Profiles!$B$11*IF(K289="",H289,K289))+Profiles!$C$4*I289)/1000000+Profiles!$D$4*IF(L289="",0,L289))</f>
        <v/>
      </c>
      <c r="N289" s="12">
        <f>IF(OR(H289="",I289=""),"",(Profiles!$B$5*(Profiles!$B$10*H289+Profiles!$B$9*IF(J289="",H289,J289)+Profiles!$B$11*IF(K289="",H289,K289))+Profiles!$C$5*I289)/1000000+Profiles!$D$5*IF(L289="",0,L289))</f>
        <v/>
      </c>
      <c r="O289" s="12">
        <f>IF(OR(H289="",I289=""),"",(Profiles!$B$6*(Profiles!$B$10*H289+Profiles!$B$9*IF(J289="",H289,J289)+Profiles!$B$11*IF(K289="",H289,K289))+Profiles!$C$6*I289)/1000000+Profiles!$D$6*IF(L289="",0,L289))</f>
        <v/>
      </c>
      <c r="P289" s="12">
        <f>IF(OR(H289="",I289=""),"",(Profiles!$B$5*(Profiles!$B$10*H289+Profiles!$B$9*H289+Profiles!$B$11*H289)+Profiles!$C$5*I289)/1000000+Profiles!$D$5*IF(L289="",0,L289))</f>
        <v/>
      </c>
      <c r="Q289" t="inlineStr">
        <is>
          <t>2023-11-08</t>
        </is>
      </c>
    </row>
  </sheetData>
  <autoFilter ref="A1:R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2" t="inlineStr">
        <is>
          <t>model id</t>
        </is>
      </c>
      <c r="B1" s="2" t="inlineStr">
        <is>
          <t>used</t>
        </is>
      </c>
      <c r="C1" s="2" t="inlineStr">
        <is>
          <t>light $</t>
        </is>
      </c>
      <c r="D1" s="2" t="inlineStr">
        <is>
          <t>typical $</t>
        </is>
      </c>
      <c r="E1" s="2" t="inlineStr">
        <is>
          <t>heavy $</t>
        </is>
      </c>
      <c r="F1" s="2" t="inlineStr">
        <is>
          <t>typical $ no cache</t>
        </is>
      </c>
    </row>
    <row r="2">
      <c r="A2" t="inlineStr">
        <is>
          <t>stealth/space-bunny-alpha</t>
        </is>
      </c>
      <c r="B2" t="inlineStr">
        <is>
          <t>r18 as space-bunny-free (via Go)</t>
        </is>
      </c>
      <c r="C2" s="12">
        <f>Models!M2</f>
        <v/>
      </c>
      <c r="D2" s="12">
        <f>Models!N2</f>
        <v/>
      </c>
      <c r="E2" s="12">
        <f>Models!O2</f>
        <v/>
      </c>
      <c r="F2" s="12">
        <f>Models!P2</f>
        <v/>
      </c>
    </row>
    <row r="3">
      <c r="A3" t="inlineStr">
        <is>
          <t>deepseek/deepseek-v4.1-flash</t>
        </is>
      </c>
      <c r="B3" t="inlineStr">
        <is>
          <t>r18 (via Go)</t>
        </is>
      </c>
      <c r="C3" s="12">
        <f>Models!M12</f>
        <v/>
      </c>
      <c r="D3" s="12">
        <f>Models!N12</f>
        <v/>
      </c>
      <c r="E3" s="12">
        <f>Models!O12</f>
        <v/>
      </c>
      <c r="F3" s="12">
        <f>Models!P12</f>
        <v/>
      </c>
    </row>
    <row r="4">
      <c r="A4" t="inlineStr">
        <is>
          <t>openai/gpt-6-luna</t>
        </is>
      </c>
      <c r="B4" t="inlineStr">
        <is>
          <t>r19 (via ChatGPT subscription)</t>
        </is>
      </c>
      <c r="C4" s="12">
        <f>Models!M24</f>
        <v/>
      </c>
      <c r="D4" s="12">
        <f>Models!N24</f>
        <v/>
      </c>
      <c r="E4" s="12">
        <f>Models!O24</f>
        <v/>
      </c>
      <c r="F4" s="12">
        <f>Models!P24</f>
        <v/>
      </c>
    </row>
    <row r="5">
      <c r="A5" t="inlineStr">
        <is>
          <t>z-ai/glm-5.3-flash</t>
        </is>
      </c>
      <c r="B5" t="inlineStr">
        <is>
          <t>r18 (via Go)</t>
        </is>
      </c>
      <c r="C5" s="12">
        <f>Models!M32</f>
        <v/>
      </c>
      <c r="D5" s="12">
        <f>Models!N32</f>
        <v/>
      </c>
      <c r="E5" s="12">
        <f>Models!O32</f>
        <v/>
      </c>
      <c r="F5" s="12">
        <f>Models!P32</f>
        <v/>
      </c>
    </row>
    <row r="6">
      <c r="A6" t="inlineStr">
        <is>
          <t>xiaomi/mimo-v2.6-pro</t>
        </is>
      </c>
      <c r="B6" t="inlineStr">
        <is>
          <t>r18, r19 (via Go)</t>
        </is>
      </c>
      <c r="C6" s="12">
        <f>Models!M40</f>
        <v/>
      </c>
      <c r="D6" s="12">
        <f>Models!N40</f>
        <v/>
      </c>
      <c r="E6" s="12">
        <f>Models!O40</f>
        <v/>
      </c>
      <c r="F6" s="12">
        <f>Models!P40</f>
        <v/>
      </c>
    </row>
    <row r="7">
      <c r="A7" t="inlineStr">
        <is>
          <t>google/gemini-3.8-flash</t>
        </is>
      </c>
      <c r="B7" t="inlineStr">
        <is>
          <t>r11, r16, r18, r19</t>
        </is>
      </c>
      <c r="C7" s="12">
        <f>Models!M77</f>
        <v/>
      </c>
      <c r="D7" s="12">
        <f>Models!N77</f>
        <v/>
      </c>
      <c r="E7" s="12">
        <f>Models!O77</f>
        <v/>
      </c>
      <c r="F7" s="12">
        <f>Models!P77</f>
        <v/>
      </c>
    </row>
    <row r="8">
      <c r="A8" t="inlineStr">
        <is>
          <t>meta/muse-spark-1.3</t>
        </is>
      </c>
      <c r="B8" t="inlineStr">
        <is>
          <t>r18, r19 (via Zen)</t>
        </is>
      </c>
      <c r="C8" s="12">
        <f>Models!M106</f>
        <v/>
      </c>
      <c r="D8" s="12">
        <f>Models!N106</f>
        <v/>
      </c>
      <c r="E8" s="12">
        <f>Models!O106</f>
        <v/>
      </c>
      <c r="F8" s="12">
        <f>Models!P106</f>
        <v/>
      </c>
    </row>
    <row r="9">
      <c r="A9" t="inlineStr">
        <is>
          <t>moonshotai/kimi-k3</t>
        </is>
      </c>
      <c r="B9" t="inlineStr">
        <is>
          <t>r19 (via Go)</t>
        </is>
      </c>
      <c r="C9" s="12">
        <f>Models!M156</f>
        <v/>
      </c>
      <c r="D9" s="12">
        <f>Models!N156</f>
        <v/>
      </c>
      <c r="E9" s="12">
        <f>Models!O156</f>
        <v/>
      </c>
      <c r="F9" s="12">
        <f>Models!P156</f>
        <v/>
      </c>
    </row>
    <row r="10">
      <c r="A10" t="inlineStr">
        <is>
          <t>anthropic/claude-opus-5.5</t>
        </is>
      </c>
      <c r="B10" t="inlineStr">
        <is>
          <t>r10-r17 (Opus 5.5)</t>
        </is>
      </c>
      <c r="C10" s="12">
        <f>Models!M163</f>
        <v/>
      </c>
      <c r="D10" s="12">
        <f>Models!N163</f>
        <v/>
      </c>
      <c r="E10" s="12">
        <f>Models!O163</f>
        <v/>
      </c>
      <c r="F10" s="12">
        <f>Models!P163</f>
        <v/>
      </c>
    </row>
    <row r="11">
      <c r="A11" t="inlineStr">
        <is>
          <t>anthropic/claude-fable-5.1</t>
        </is>
      </c>
      <c r="B11" t="inlineStr">
        <is>
          <t>r11</t>
        </is>
      </c>
      <c r="C11" s="12">
        <f>Models!M181</f>
        <v/>
      </c>
      <c r="D11" s="12">
        <f>Models!N181</f>
        <v/>
      </c>
      <c r="E11" s="12">
        <f>Models!O181</f>
        <v/>
      </c>
      <c r="F11" s="12">
        <f>Models!P181</f>
        <v/>
      </c>
    </row>
    <row r="12">
      <c r="A12" t="inlineStr">
        <is>
          <t>openai/gpt-6-astra</t>
        </is>
      </c>
      <c r="B12" t="inlineStr">
        <is>
          <t>r11, audits</t>
        </is>
      </c>
      <c r="C12" s="12">
        <f>Models!M184</f>
        <v/>
      </c>
      <c r="D12" s="12">
        <f>Models!N184</f>
        <v/>
      </c>
      <c r="E12" s="12">
        <f>Models!O184</f>
        <v/>
      </c>
      <c r="F12" s="12">
        <f>Models!P184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1" customWidth="1" min="8" max="8"/>
    <col width="8" customWidth="1" min="9" max="9"/>
    <col width="8" customWidth="1" min="10" max="10"/>
    <col width="30" customWidth="1" min="11" max="11"/>
    <col width="14" customWidth="1" min="12" max="12"/>
  </cols>
  <sheetData>
    <row r="1">
      <c r="A1" s="2" t="inlineStr">
        <is>
          <t>painting</t>
        </is>
      </c>
      <c r="B1" s="2" t="inlineStr">
        <is>
          <t>model (provider/id as run)</t>
        </is>
      </c>
      <c r="C1" s="2" t="inlineStr">
        <is>
          <t>sittings worked</t>
        </is>
      </c>
      <c r="D1" s="2" t="inlineStr">
        <is>
          <t>requests</t>
        </is>
      </c>
      <c r="E1" s="2" t="inlineStr">
        <is>
          <t>uncached input</t>
        </is>
      </c>
      <c r="F1" s="2" t="inlineStr">
        <is>
          <t>cache read</t>
        </is>
      </c>
      <c r="G1" s="2" t="inlineStr">
        <is>
          <t>cache write</t>
        </is>
      </c>
      <c r="H1" s="2" t="inlineStr">
        <is>
          <t>output</t>
        </is>
      </c>
      <c r="I1" s="2" t="inlineStr">
        <is>
          <t>images</t>
        </is>
      </c>
      <c r="J1" s="2" t="inlineStr">
        <is>
          <t>chunks</t>
        </is>
      </c>
      <c r="K1" s="2" t="inlineStr">
        <is>
          <t>OpenRouter id</t>
        </is>
      </c>
      <c r="L1" s="2" t="inlineStr">
        <is>
          <t>$ at OpenRouter list price</t>
        </is>
      </c>
    </row>
    <row r="2">
      <c r="A2" t="inlineStr">
        <is>
          <t>r17-F1</t>
        </is>
      </c>
      <c r="B2" t="inlineStr">
        <is>
          <t>anthropic/claude-opus-5-5</t>
        </is>
      </c>
      <c r="C2" t="n">
        <v>4</v>
      </c>
      <c r="D2" s="10" t="n">
        <v>578</v>
      </c>
      <c r="E2" s="10" t="n">
        <v>1164</v>
      </c>
      <c r="F2" s="10" t="n">
        <v>40539624</v>
      </c>
      <c r="G2" s="10" t="n">
        <v>1371331</v>
      </c>
      <c r="H2" s="10" t="n">
        <v>279722</v>
      </c>
      <c r="I2" s="10" t="n">
        <v>243</v>
      </c>
      <c r="J2" s="10" t="n">
        <v>210</v>
      </c>
      <c r="K2" t="inlineStr">
        <is>
          <t>anthropic/claude-opus-5.5</t>
        </is>
      </c>
      <c r="L2" s="12" t="n">
        <v>20.5636758</v>
      </c>
    </row>
    <row r="3">
      <c r="A3" t="inlineStr">
        <is>
          <t>r17-F2</t>
        </is>
      </c>
      <c r="B3" t="inlineStr">
        <is>
          <t>anthropic/claude-opus-5-5</t>
        </is>
      </c>
      <c r="C3" t="n">
        <v>3</v>
      </c>
      <c r="D3" s="10" t="n">
        <v>458</v>
      </c>
      <c r="E3" s="10" t="n">
        <v>922</v>
      </c>
      <c r="F3" s="10" t="n">
        <v>44766940</v>
      </c>
      <c r="G3" s="10" t="n">
        <v>4394726</v>
      </c>
      <c r="H3" s="10" t="n">
        <v>223036</v>
      </c>
      <c r="I3" s="10" t="n">
        <v>200</v>
      </c>
      <c r="J3" s="10" t="n">
        <v>184</v>
      </c>
      <c r="K3" t="inlineStr">
        <is>
          <t>anthropic/claude-opus-5.5</t>
        </is>
      </c>
      <c r="L3" s="12" t="n">
        <v>35.391426</v>
      </c>
    </row>
    <row r="4">
      <c r="A4" t="inlineStr">
        <is>
          <t>r17-F3</t>
        </is>
      </c>
      <c r="B4" t="inlineStr">
        <is>
          <t>anthropic/claude-opus-5-5</t>
        </is>
      </c>
      <c r="C4" t="n">
        <v>4</v>
      </c>
      <c r="D4" s="10" t="n">
        <v>451</v>
      </c>
      <c r="E4" s="10" t="n">
        <v>910</v>
      </c>
      <c r="F4" s="10" t="n">
        <v>36456995</v>
      </c>
      <c r="G4" s="10" t="n">
        <v>3045368</v>
      </c>
      <c r="H4" s="10" t="n">
        <v>216862</v>
      </c>
      <c r="I4" s="10" t="n">
        <v>178</v>
      </c>
      <c r="J4" s="10" t="n">
        <v>192</v>
      </c>
      <c r="K4" t="inlineStr">
        <is>
          <t>anthropic/claude-opus-5.5</t>
        </is>
      </c>
      <c r="L4" s="12" t="n">
        <v>26.859119</v>
      </c>
    </row>
    <row r="5">
      <c r="A5" t="inlineStr">
        <is>
          <t>r17-O1</t>
        </is>
      </c>
      <c r="B5" t="inlineStr">
        <is>
          <t>anthropic/claude-opus-5-5</t>
        </is>
      </c>
      <c r="C5" t="n">
        <v>4</v>
      </c>
      <c r="D5" s="10" t="n">
        <v>206</v>
      </c>
      <c r="E5" s="10" t="n">
        <v>420</v>
      </c>
      <c r="F5" s="10" t="n">
        <v>12571544</v>
      </c>
      <c r="G5" s="10" t="n">
        <v>263115</v>
      </c>
      <c r="H5" s="10" t="n">
        <v>78543</v>
      </c>
      <c r="I5" s="10" t="n">
        <v>98</v>
      </c>
      <c r="J5" s="10" t="n">
        <v>81</v>
      </c>
      <c r="K5" t="inlineStr">
        <is>
          <t>anthropic/claude-opus-5.5</t>
        </is>
      </c>
      <c r="L5" s="12" t="n">
        <v>5.402423799999999</v>
      </c>
    </row>
    <row r="6">
      <c r="A6" t="inlineStr">
        <is>
          <t>r17-O2</t>
        </is>
      </c>
      <c r="B6" t="inlineStr">
        <is>
          <t>anthropic/claude-opus-5-5</t>
        </is>
      </c>
      <c r="C6" t="n">
        <v>4</v>
      </c>
      <c r="D6" s="10" t="n">
        <v>311</v>
      </c>
      <c r="E6" s="10" t="n">
        <v>630</v>
      </c>
      <c r="F6" s="10" t="n">
        <v>15261491</v>
      </c>
      <c r="G6" s="10" t="n">
        <v>1257295</v>
      </c>
      <c r="H6" s="10" t="n">
        <v>100082</v>
      </c>
      <c r="I6" s="10" t="n">
        <v>132</v>
      </c>
      <c r="J6" s="10" t="n">
        <v>120</v>
      </c>
      <c r="K6" t="inlineStr">
        <is>
          <t>anthropic/claude-opus-5.5</t>
        </is>
      </c>
      <c r="L6" s="12" t="n">
        <v>11.3429332</v>
      </c>
    </row>
    <row r="7">
      <c r="A7" t="inlineStr">
        <is>
          <t>r17-O3</t>
        </is>
      </c>
      <c r="B7" t="inlineStr">
        <is>
          <t>anthropic/claude-opus-5-5</t>
        </is>
      </c>
      <c r="C7" t="n">
        <v>2</v>
      </c>
      <c r="D7" s="10" t="n">
        <v>244</v>
      </c>
      <c r="E7" s="10" t="n">
        <v>492</v>
      </c>
      <c r="F7" s="10" t="n">
        <v>15820196</v>
      </c>
      <c r="G7" s="10" t="n">
        <v>1542897</v>
      </c>
      <c r="H7" s="10" t="n">
        <v>97394</v>
      </c>
      <c r="I7" s="10" t="n">
        <v>106</v>
      </c>
      <c r="J7" s="10" t="n">
        <v>112</v>
      </c>
      <c r="K7" t="inlineStr">
        <is>
          <t>anthropic/claude-opus-5.5</t>
        </is>
      </c>
      <c r="L7" s="12" t="n">
        <v>12.8283722</v>
      </c>
    </row>
    <row r="8">
      <c r="A8" t="inlineStr">
        <is>
          <t>r18-BUN1</t>
        </is>
      </c>
      <c r="B8" t="inlineStr">
        <is>
          <t>opencode-go/space-bunny-free</t>
        </is>
      </c>
      <c r="C8" t="n">
        <v>4</v>
      </c>
      <c r="D8" s="10" t="n">
        <v>826</v>
      </c>
      <c r="E8" s="10" t="n">
        <v>3909565</v>
      </c>
      <c r="F8" s="10" t="n">
        <v>86007256</v>
      </c>
      <c r="G8" s="10" t="n">
        <v>0</v>
      </c>
      <c r="H8" s="10" t="n">
        <v>584717</v>
      </c>
      <c r="I8" s="10" t="n">
        <v>350</v>
      </c>
      <c r="J8" s="10" t="n">
        <v>362</v>
      </c>
      <c r="K8" t="inlineStr">
        <is>
          <t>stealth/space-bunny-alpha</t>
        </is>
      </c>
      <c r="L8" s="12" t="n">
        <v>0</v>
      </c>
    </row>
    <row r="9">
      <c r="A9" t="inlineStr">
        <is>
          <t>r18-DSK1</t>
        </is>
      </c>
      <c r="B9" t="inlineStr">
        <is>
          <t>opencode-go/deepseek-v4.1-flash</t>
        </is>
      </c>
      <c r="C9" t="n">
        <v>4</v>
      </c>
      <c r="D9" s="10" t="n">
        <v>522</v>
      </c>
      <c r="E9" s="10" t="n">
        <v>7020996</v>
      </c>
      <c r="F9" s="10" t="n">
        <v>40720000</v>
      </c>
      <c r="G9" s="10" t="n">
        <v>0</v>
      </c>
      <c r="H9" s="10" t="n">
        <v>400857</v>
      </c>
      <c r="I9" s="10" t="n">
        <v>289</v>
      </c>
      <c r="J9" s="10" t="n">
        <v>172</v>
      </c>
      <c r="K9" t="inlineStr">
        <is>
          <t>deepseek/deepseek-v4.1-flash</t>
        </is>
      </c>
      <c r="L9" s="12" t="n">
        <v>0.40270339</v>
      </c>
    </row>
    <row r="10">
      <c r="A10" t="inlineStr">
        <is>
          <t>r18-GLM1</t>
        </is>
      </c>
      <c r="B10" t="inlineStr">
        <is>
          <t>opencode-go/glm-5.3-flash</t>
        </is>
      </c>
      <c r="C10" t="n">
        <v>5</v>
      </c>
      <c r="D10" s="10" t="n">
        <v>531</v>
      </c>
      <c r="E10" s="10" t="n">
        <v>3635472</v>
      </c>
      <c r="F10" s="10" t="n">
        <v>29874432</v>
      </c>
      <c r="G10" s="10" t="n">
        <v>0</v>
      </c>
      <c r="H10" s="10" t="n">
        <v>186604</v>
      </c>
      <c r="I10" s="10" t="n">
        <v>195</v>
      </c>
      <c r="J10" s="10" t="n">
        <v>189</v>
      </c>
      <c r="K10" t="inlineStr">
        <is>
          <t>z-ai/glm-5.3-flash</t>
        </is>
      </c>
      <c r="L10" s="12" t="n">
        <v>1.53485576</v>
      </c>
    </row>
    <row r="11">
      <c r="A11" t="inlineStr">
        <is>
          <t>r18-MIMO1</t>
        </is>
      </c>
      <c r="B11" t="inlineStr">
        <is>
          <t>opencode-go/mimo-v2.6-pro</t>
        </is>
      </c>
      <c r="C11" t="n">
        <v>3</v>
      </c>
      <c r="D11" s="10" t="n">
        <v>326</v>
      </c>
      <c r="E11" s="10" t="n">
        <v>4784381</v>
      </c>
      <c r="F11" s="10" t="n">
        <v>25242496</v>
      </c>
      <c r="G11" s="10" t="n">
        <v>0</v>
      </c>
      <c r="H11" s="10" t="n">
        <v>251723</v>
      </c>
      <c r="I11" s="10" t="n">
        <v>158</v>
      </c>
      <c r="J11" s="10" t="n">
        <v>79</v>
      </c>
      <c r="K11" t="inlineStr">
        <is>
          <t>xiaomi/mimo-v2.6-pro</t>
        </is>
      </c>
      <c r="L11" s="12" t="n">
        <v>2.3910777306</v>
      </c>
    </row>
    <row r="12">
      <c r="A12" t="inlineStr">
        <is>
          <t>r18-MUSE1</t>
        </is>
      </c>
      <c r="B12" t="inlineStr">
        <is>
          <t>opencode/muse-spark-1.3</t>
        </is>
      </c>
      <c r="C12" t="n">
        <v>2</v>
      </c>
      <c r="D12" s="10" t="n">
        <v>88</v>
      </c>
      <c r="E12" s="10" t="n">
        <v>298624</v>
      </c>
      <c r="F12" s="10" t="n">
        <v>3370328</v>
      </c>
      <c r="G12" s="10" t="n">
        <v>0</v>
      </c>
      <c r="H12" s="10" t="n">
        <v>30130</v>
      </c>
      <c r="I12" s="10" t="n">
        <v>40</v>
      </c>
      <c r="J12" s="10" t="n">
        <v>30</v>
      </c>
      <c r="K12" t="inlineStr">
        <is>
          <t>meta/muse-spark-1.3</t>
        </is>
      </c>
      <c r="L12" s="12" t="n">
        <v>1.0068817</v>
      </c>
    </row>
    <row r="13">
      <c r="A13" t="inlineStr">
        <is>
          <t>r18g-GEM1</t>
        </is>
      </c>
      <c r="B13" t="inlineStr">
        <is>
          <t>google/gemini-3.8-flash</t>
        </is>
      </c>
      <c r="C13" t="n">
        <v>3</v>
      </c>
      <c r="D13" s="10" t="n">
        <v>336</v>
      </c>
      <c r="E13" s="10" t="n">
        <v>1984860</v>
      </c>
      <c r="F13" s="10" t="n">
        <v>31107408</v>
      </c>
      <c r="G13" s="10" t="n">
        <v>0</v>
      </c>
      <c r="H13" s="10" t="n">
        <v>111795</v>
      </c>
      <c r="I13" s="10" t="n">
        <v>46</v>
      </c>
      <c r="J13" s="10" t="n">
        <v>34</v>
      </c>
      <c r="K13" t="inlineStr">
        <is>
          <t>google/gemini-3.8-flash</t>
        </is>
      </c>
      <c r="L13" s="12" t="n">
        <v>4.24096635</v>
      </c>
    </row>
    <row r="14">
      <c r="A14" t="inlineStr">
        <is>
          <t>r19-CTEST1</t>
        </is>
      </c>
      <c r="B14" t="inlineStr">
        <is>
          <t>openai-codex/gpt-6-luna</t>
        </is>
      </c>
      <c r="C14" t="n">
        <v>3</v>
      </c>
      <c r="D14" s="10" t="n">
        <v>110</v>
      </c>
      <c r="E14" s="10" t="n">
        <v>720793</v>
      </c>
      <c r="F14" s="10" t="n">
        <v>2957184</v>
      </c>
      <c r="G14" s="10" t="n">
        <v>0</v>
      </c>
      <c r="H14" s="10" t="n">
        <v>89314</v>
      </c>
      <c r="I14" s="10" t="n">
        <v>55</v>
      </c>
      <c r="J14" s="10" t="n">
        <v>34</v>
      </c>
      <c r="K14" t="inlineStr">
        <is>
          <t>openai/gpt-6-luna</t>
        </is>
      </c>
      <c r="L14" s="12" t="n">
        <v>0.14630814</v>
      </c>
    </row>
    <row r="15">
      <c r="A15" t="inlineStr">
        <is>
          <t>r19-GEMB1</t>
        </is>
      </c>
      <c r="B15" t="inlineStr">
        <is>
          <t>google/gemini-3.8-flash</t>
        </is>
      </c>
      <c r="C15" t="n">
        <v>4</v>
      </c>
      <c r="D15" s="10" t="n">
        <v>463</v>
      </c>
      <c r="E15" s="10" t="n">
        <v>4433963</v>
      </c>
      <c r="F15" s="10" t="n">
        <v>52684247</v>
      </c>
      <c r="G15" s="10" t="n">
        <v>0</v>
      </c>
      <c r="H15" s="10" t="n">
        <v>653590</v>
      </c>
      <c r="I15" s="10" t="n">
        <v>222</v>
      </c>
      <c r="J15" s="10" t="n">
        <v>172</v>
      </c>
      <c r="K15" t="inlineStr">
        <is>
          <t>google/gemini-3.8-flash</t>
        </is>
      </c>
      <c r="L15" s="12" t="n">
        <v>9.727919775000002</v>
      </c>
    </row>
    <row r="16">
      <c r="A16" t="inlineStr">
        <is>
          <t>r19-GEMF1</t>
        </is>
      </c>
      <c r="B16" t="inlineStr">
        <is>
          <t>google/gemini-3.8-flash</t>
        </is>
      </c>
      <c r="C16" t="n">
        <v>3</v>
      </c>
      <c r="D16" s="10" t="n">
        <v>356</v>
      </c>
      <c r="E16" s="10" t="n">
        <v>3405463</v>
      </c>
      <c r="F16" s="10" t="n">
        <v>50703135</v>
      </c>
      <c r="G16" s="10" t="n">
        <v>0</v>
      </c>
      <c r="H16" s="10" t="n">
        <v>592219</v>
      </c>
      <c r="I16" s="10" t="n">
        <v>159</v>
      </c>
      <c r="J16" s="10" t="n">
        <v>141</v>
      </c>
      <c r="K16" t="inlineStr">
        <is>
          <t>google/gemini-3.8-flash</t>
        </is>
      </c>
      <c r="L16" s="12" t="n">
        <v>8.577772874999999</v>
      </c>
    </row>
    <row r="17">
      <c r="A17" t="inlineStr">
        <is>
          <t>r19-KIMIF1</t>
        </is>
      </c>
      <c r="B17" t="inlineStr">
        <is>
          <t>opencode-go/kimi-k3</t>
        </is>
      </c>
      <c r="C17" t="n">
        <v>2</v>
      </c>
      <c r="D17" s="10" t="n">
        <v>117</v>
      </c>
      <c r="E17" s="10" t="n">
        <v>732646</v>
      </c>
      <c r="F17" s="10" t="n">
        <v>6015104</v>
      </c>
      <c r="G17" s="10" t="n">
        <v>0</v>
      </c>
      <c r="H17" s="10" t="n">
        <v>91086</v>
      </c>
      <c r="I17" s="10" t="n">
        <v>52</v>
      </c>
      <c r="J17" s="10" t="n">
        <v>50</v>
      </c>
      <c r="K17" t="inlineStr">
        <is>
          <t>moonshotai/kimi-k3</t>
        </is>
      </c>
      <c r="L17" s="12" t="n">
        <v>5.3687592</v>
      </c>
    </row>
    <row r="18">
      <c r="A18" t="inlineStr">
        <is>
          <t>r19-LUNAB1</t>
        </is>
      </c>
      <c r="B18" t="inlineStr">
        <is>
          <t>openai-codex/gpt-6-luna</t>
        </is>
      </c>
      <c r="C18" t="n">
        <v>2</v>
      </c>
      <c r="D18" s="10" t="n">
        <v>52</v>
      </c>
      <c r="E18" s="10" t="n">
        <v>118214</v>
      </c>
      <c r="F18" s="10" t="n">
        <v>1416704</v>
      </c>
      <c r="G18" s="10" t="n">
        <v>0</v>
      </c>
      <c r="H18" s="10" t="n">
        <v>31656</v>
      </c>
      <c r="I18" s="10" t="n">
        <v>23</v>
      </c>
      <c r="J18" s="10" t="n">
        <v>18</v>
      </c>
      <c r="K18" t="inlineStr">
        <is>
          <t>openai/gpt-6-luna</t>
        </is>
      </c>
      <c r="L18" s="12" t="n">
        <v>0.04181644</v>
      </c>
    </row>
    <row r="19">
      <c r="A19" t="inlineStr">
        <is>
          <t>r19-LUNAF1</t>
        </is>
      </c>
      <c r="B19" t="inlineStr">
        <is>
          <t>openai-codex/gpt-6-luna</t>
        </is>
      </c>
      <c r="C19" t="n">
        <v>4</v>
      </c>
      <c r="D19" s="10" t="n">
        <v>100</v>
      </c>
      <c r="E19" s="10" t="n">
        <v>422529</v>
      </c>
      <c r="F19" s="10" t="n">
        <v>4176256</v>
      </c>
      <c r="G19" s="10" t="n">
        <v>0</v>
      </c>
      <c r="H19" s="10" t="n">
        <v>71549</v>
      </c>
      <c r="I19" s="10" t="n">
        <v>55</v>
      </c>
      <c r="J19" s="10" t="n">
        <v>36</v>
      </c>
      <c r="K19" t="inlineStr">
        <is>
          <t>openai/gpt-6-luna</t>
        </is>
      </c>
      <c r="L19" s="12" t="n">
        <v>0.11978996</v>
      </c>
    </row>
    <row r="20">
      <c r="A20" t="inlineStr">
        <is>
          <t>r19-MIMOF1</t>
        </is>
      </c>
      <c r="B20" t="inlineStr">
        <is>
          <t>opencode-go/mimo-v2.6-pro</t>
        </is>
      </c>
      <c r="C20" t="n">
        <v>2</v>
      </c>
      <c r="D20" s="10" t="n">
        <v>68</v>
      </c>
      <c r="E20" s="10" t="n">
        <v>499588</v>
      </c>
      <c r="F20" s="10" t="n">
        <v>3287168</v>
      </c>
      <c r="G20" s="10" t="n">
        <v>0</v>
      </c>
      <c r="H20" s="10" t="n">
        <v>121676</v>
      </c>
      <c r="I20" s="10" t="n">
        <v>29</v>
      </c>
      <c r="J20" s="10" t="n">
        <v>29</v>
      </c>
      <c r="K20" t="inlineStr">
        <is>
          <t>xiaomi/mimo-v2.6-pro</t>
        </is>
      </c>
      <c r="L20" s="12" t="n">
        <v>0.3350127048</v>
      </c>
    </row>
    <row r="21">
      <c r="A21" t="inlineStr">
        <is>
          <t>r19-MUSEF1</t>
        </is>
      </c>
      <c r="B21" t="inlineStr">
        <is>
          <t>opencode/muse-spark-1.3</t>
        </is>
      </c>
      <c r="C21" t="n">
        <v>4</v>
      </c>
      <c r="D21" s="10" t="n">
        <v>349</v>
      </c>
      <c r="E21" s="10" t="n">
        <v>933773</v>
      </c>
      <c r="F21" s="10" t="n">
        <v>19911753</v>
      </c>
      <c r="G21" s="10" t="n">
        <v>0</v>
      </c>
      <c r="H21" s="10" t="n">
        <v>121367</v>
      </c>
      <c r="I21" s="10" t="n">
        <v>204</v>
      </c>
      <c r="J21" s="10" t="n">
        <v>155</v>
      </c>
      <c r="K21" t="inlineStr">
        <is>
          <t>meta/muse-spark-1.3</t>
        </is>
      </c>
      <c r="L21" s="12" t="n">
        <v>4.66978895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2026-09-28T13:42:05Z</dcterms:created>
  <dcterms:modified xsi:type="dcterms:W3CDTF">2026-09-28T14:05:46Z</dcterms:modified>
</cp:coreProperties>
</file>