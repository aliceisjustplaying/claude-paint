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test (47)" sheetId="2" state="visible" r:id="rId2"/>
    <sheet name="Present &amp; past (156)" sheetId="3" state="visible" r:id="rId3"/>
    <sheet name="Excluded" sheetId="4" state="visible" r:id="rId4"/>
    <sheet name="Profiles" sheetId="5" state="visible" r:id="rId5"/>
  </sheets>
  <definedNames>
    <definedName name="_xlnm._FilterDatabase" localSheetId="1" hidden="1">'Latest (47)'!$A$1:$O$48</definedName>
    <definedName name="_xlnm._FilterDatabase" localSheetId="2" hidden="1">'Present &amp; past (156)'!$A$1:$O$157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.00"/>
    <numFmt numFmtId="166" formatCode="$#,##0"/>
  </numFmts>
  <fonts count="4">
    <font>
      <name val="Calibri"/>
      <family val="2"/>
      <color theme="1"/>
      <sz val="11"/>
      <scheme val="minor"/>
    </font>
    <font>
      <b val="1"/>
    </font>
    <font>
      <color rgb="001F4E9A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D6C8"/>
      </patternFill>
    </fill>
    <fill>
      <patternFill patternType="solid">
        <fgColor rgb="00F3E6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1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1" customWidth="1" min="4" max="4"/>
    <col width="11" customWidth="1" min="5" max="5"/>
    <col width="12" customWidth="1" min="6" max="6"/>
    <col width="14" customWidth="1" min="7" max="7"/>
  </cols>
  <sheetData>
    <row r="1">
      <c r="A1" s="1" t="inlineStr">
        <is>
          <t>Vision models that could paint, priced on OpenRouter (2026-09-28)</t>
        </is>
      </c>
    </row>
    <row r="3">
      <c r="A3" s="2" t="inlineStr">
        <is>
          <t>set</t>
        </is>
      </c>
      <c r="B3" s="2" t="inlineStr">
        <is>
          <t>models</t>
        </is>
      </c>
      <c r="C3" s="2" t="inlineStr">
        <is>
          <t>light $</t>
        </is>
      </c>
      <c r="D3" s="2" t="inlineStr">
        <is>
          <t>typical $</t>
        </is>
      </c>
      <c r="E3" s="2" t="inlineStr">
        <is>
          <t>heavy $</t>
        </is>
      </c>
      <c r="F3" s="2" t="inlineStr">
        <is>
          <t>one pass $</t>
        </is>
      </c>
      <c r="G3" s="2" t="inlineStr">
        <is>
          <t>three passes $</t>
        </is>
      </c>
    </row>
    <row r="4">
      <c r="A4" t="inlineStr">
        <is>
          <t>Latest</t>
        </is>
      </c>
      <c r="B4" t="n">
        <v>47</v>
      </c>
      <c r="C4" s="3">
        <f>'Latest (47)'!K50</f>
        <v/>
      </c>
      <c r="D4" s="3">
        <f>'Latest (47)'!L50</f>
        <v/>
      </c>
      <c r="E4" s="3">
        <f>'Latest (47)'!M50</f>
        <v/>
      </c>
      <c r="F4" s="3">
        <f>'Latest (47)'!N50</f>
        <v/>
      </c>
      <c r="G4" s="3">
        <f>'Latest (47)'!O50</f>
        <v/>
      </c>
    </row>
    <row r="5">
      <c r="A5" t="inlineStr">
        <is>
          <t>Present &amp; past</t>
        </is>
      </c>
      <c r="B5" t="n">
        <v>156</v>
      </c>
      <c r="C5" s="3">
        <f>'Present &amp; past (156)'!K159</f>
        <v/>
      </c>
      <c r="D5" s="3">
        <f>'Present &amp; past (156)'!L159</f>
        <v/>
      </c>
      <c r="E5" s="3">
        <f>'Present &amp; past (156)'!M159</f>
        <v/>
      </c>
      <c r="F5" s="3">
        <f>'Present &amp; past (156)'!N159</f>
        <v/>
      </c>
      <c r="G5" s="3">
        <f>'Present &amp; past (156)'!O159</f>
        <v/>
      </c>
    </row>
    <row r="6">
      <c r="A6" s="4" t="inlineStr">
        <is>
          <t>Sum of both</t>
        </is>
      </c>
      <c r="B6">
        <f>B4+B5</f>
        <v/>
      </c>
      <c r="C6" s="3">
        <f>C4+C5</f>
        <v/>
      </c>
      <c r="D6" s="3">
        <f>D4+D5</f>
        <v/>
      </c>
      <c r="E6" s="3">
        <f>E4+E5</f>
        <v/>
      </c>
      <c r="F6" s="3">
        <f>F4+F5</f>
        <v/>
      </c>
      <c r="G6" s="3">
        <f>G4+G5</f>
        <v/>
      </c>
    </row>
    <row r="7">
      <c r="A7" t="inlineStr"/>
    </row>
    <row r="8">
      <c r="A8" t="inlineStr">
        <is>
          <t>One pass = one light, one typical and one heavy painting per model (4 sittings each; profiles on the Profiles sheet).</t>
        </is>
      </c>
    </row>
    <row r="9">
      <c r="A9" t="inlineStr">
        <is>
          <t>Latest: the newest model per line released since 2026-03-28. Present &amp; past: every version still on OpenRouter.</t>
        </is>
      </c>
    </row>
    <row r="10">
      <c r="A10" t="inlineStr">
        <is>
          <t>Both: images in, tool calls, interactive; no routers or orchestrators (Unbiased's Pareto, an ensemble, kept on purpose);</t>
        </is>
      </c>
    </row>
    <row r="11">
      <c r="A11" t="inlineStr">
        <is>
          <t>no OpenAI Pro models; no image-generation models. The sum counts the latest models twice (they're in both sets).</t>
        </is>
      </c>
    </row>
    <row r="12">
      <c r="A12" t="inlineStr">
        <is>
          <t>Cost = prompt x (8% input + 89% cache read + 3% cache write) + output + images, at list prices; no cache price = input price.</t>
        </is>
      </c>
    </row>
    <row r="13">
      <c r="A13" t="inlineStr">
        <is>
          <t>Ballpark: x0.5 to x2 (tokenizers, image tokens and thinking length differ). If caching fails, x3 to x5.</t>
        </is>
      </c>
    </row>
    <row r="14">
      <c r="A14" t="inlineStr">
        <is>
          <t>Source: https://openrouter.ai/api/v1/models (fetched 2026-09-28); token profiles from our session logs.</t>
        </is>
      </c>
    </row>
    <row r="15">
      <c r="A15" t="inlineStr">
        <is>
          <t>Yellow rows: models we have painted with.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4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</cols>
  <sheetData>
    <row r="1">
      <c r="A1" s="5" t="inlineStr">
        <is>
          <t>#</t>
        </is>
      </c>
      <c r="B1" s="5" t="inlineStr">
        <is>
          <t>model</t>
        </is>
      </c>
      <c r="C1" s="5" t="inlineStr">
        <is>
          <t>released</t>
        </is>
      </c>
      <c r="D1" s="5" t="inlineStr">
        <is>
          <t>note</t>
        </is>
      </c>
      <c r="E1" s="5" t="inlineStr">
        <is>
          <t>painted with it</t>
        </is>
      </c>
      <c r="F1" s="5" t="inlineStr">
        <is>
          <t>$/M input</t>
        </is>
      </c>
      <c r="G1" s="5" t="inlineStr">
        <is>
          <t>$/M output</t>
        </is>
      </c>
      <c r="H1" s="5" t="inlineStr">
        <is>
          <t>$/M cache read</t>
        </is>
      </c>
      <c r="I1" s="5" t="inlineStr">
        <is>
          <t>$/M cache write</t>
        </is>
      </c>
      <c r="J1" s="5" t="inlineStr">
        <is>
          <t>$/image</t>
        </is>
      </c>
      <c r="K1" s="5" t="inlineStr">
        <is>
          <t>light $</t>
        </is>
      </c>
      <c r="L1" s="5" t="inlineStr">
        <is>
          <t>typical $</t>
        </is>
      </c>
      <c r="M1" s="5" t="inlineStr">
        <is>
          <t>heavy $</t>
        </is>
      </c>
      <c r="N1" s="5" t="inlineStr">
        <is>
          <t>one pass $</t>
        </is>
      </c>
      <c r="O1" s="5" t="inlineStr">
        <is>
          <t>three passes $</t>
        </is>
      </c>
    </row>
    <row r="2">
      <c r="A2" s="6" t="n">
        <v>1</v>
      </c>
      <c r="B2" s="6" t="inlineStr">
        <is>
          <t>openai/gpt-6-astra</t>
        </is>
      </c>
      <c r="C2" s="6" t="inlineStr">
        <is>
          <t>2026-09-04</t>
        </is>
      </c>
      <c r="D2" s="6" t="inlineStr"/>
      <c r="E2" s="6" t="inlineStr">
        <is>
          <t>yes</t>
        </is>
      </c>
      <c r="F2" s="7" t="n">
        <v>10</v>
      </c>
      <c r="G2" s="7" t="n">
        <v>50</v>
      </c>
      <c r="H2" s="7" t="n">
        <v>1</v>
      </c>
      <c r="I2" s="7" t="n">
        <v>12.5</v>
      </c>
      <c r="J2" s="7" t="n"/>
      <c r="K2" s="8">
        <f>(Profiles!$B$3*(Profiles!$B$9*F2+Profiles!$B$8*IF(H2="",F2,H2)+Profiles!$B$10*IF(I2="",F2,I2))+Profiles!$C$3*G2)/1000000+Profiles!$D$3*IF(J2="",0,J2)</f>
        <v/>
      </c>
      <c r="L2" s="8">
        <f>(Profiles!$B$4*(Profiles!$B$9*F2+Profiles!$B$8*IF(H2="",F2,H2)+Profiles!$B$10*IF(I2="",F2,I2))+Profiles!$C$4*G2)/1000000+Profiles!$D$4*IF(J2="",0,J2)</f>
        <v/>
      </c>
      <c r="M2" s="8">
        <f>(Profiles!$B$5*(Profiles!$B$9*F2+Profiles!$B$8*IF(H2="",F2,H2)+Profiles!$B$10*IF(I2="",F2,I2))+Profiles!$C$5*G2)/1000000+Profiles!$D$5*IF(J2="",0,J2)</f>
        <v/>
      </c>
      <c r="N2" s="8">
        <f>K2+L2+M2</f>
        <v/>
      </c>
      <c r="O2" s="8">
        <f>3*N2</f>
        <v/>
      </c>
    </row>
    <row r="3">
      <c r="A3" s="6" t="n">
        <v>2</v>
      </c>
      <c r="B3" s="6" t="inlineStr">
        <is>
          <t>anthropic/claude-fable-5.1</t>
        </is>
      </c>
      <c r="C3" s="6" t="inlineStr">
        <is>
          <t>2026-09-01</t>
        </is>
      </c>
      <c r="D3" s="6" t="inlineStr"/>
      <c r="E3" s="6" t="inlineStr">
        <is>
          <t>yes</t>
        </is>
      </c>
      <c r="F3" s="7" t="n">
        <v>10</v>
      </c>
      <c r="G3" s="7" t="n">
        <v>50</v>
      </c>
      <c r="H3" s="7" t="n">
        <v>0.25</v>
      </c>
      <c r="I3" s="7" t="n">
        <v>12.5</v>
      </c>
      <c r="J3" s="7" t="n"/>
      <c r="K3" s="8">
        <f>(Profiles!$B$3*(Profiles!$B$9*F3+Profiles!$B$8*IF(H3="",F3,H3)+Profiles!$B$10*IF(I3="",F3,I3))+Profiles!$C$3*G3)/1000000+Profiles!$D$3*IF(J3="",0,J3)</f>
        <v/>
      </c>
      <c r="L3" s="8">
        <f>(Profiles!$B$4*(Profiles!$B$9*F3+Profiles!$B$8*IF(H3="",F3,H3)+Profiles!$B$10*IF(I3="",F3,I3))+Profiles!$C$4*G3)/1000000+Profiles!$D$4*IF(J3="",0,J3)</f>
        <v/>
      </c>
      <c r="M3" s="8">
        <f>(Profiles!$B$5*(Profiles!$B$9*F3+Profiles!$B$8*IF(H3="",F3,H3)+Profiles!$B$10*IF(I3="",F3,I3))+Profiles!$C$5*G3)/1000000+Profiles!$D$5*IF(J3="",0,J3)</f>
        <v/>
      </c>
      <c r="N3" s="8">
        <f>K3+L3+M3</f>
        <v/>
      </c>
      <c r="O3" s="8">
        <f>3*N3</f>
        <v/>
      </c>
    </row>
    <row r="4">
      <c r="A4" t="n">
        <v>3</v>
      </c>
      <c r="B4" t="inlineStr">
        <is>
          <t>qwen/qwen3.8-max-prime</t>
        </is>
      </c>
      <c r="C4" t="inlineStr">
        <is>
          <t>2026-09-23</t>
        </is>
      </c>
      <c r="D4" t="inlineStr"/>
      <c r="E4" t="inlineStr"/>
      <c r="F4" s="9" t="n">
        <v>4</v>
      </c>
      <c r="G4" s="9" t="n">
        <v>12</v>
      </c>
      <c r="H4" s="9" t="n">
        <v>0.5</v>
      </c>
      <c r="I4" s="9" t="n"/>
      <c r="J4" s="9" t="n"/>
      <c r="K4" s="10">
        <f>(Profiles!$B$3*(Profiles!$B$9*F4+Profiles!$B$8*IF(H4="",F4,H4)+Profiles!$B$10*IF(I4="",F4,I4))+Profiles!$C$3*G4)/1000000+Profiles!$D$3*IF(J4="",0,J4)</f>
        <v/>
      </c>
      <c r="L4" s="10">
        <f>(Profiles!$B$4*(Profiles!$B$9*F4+Profiles!$B$8*IF(H4="",F4,H4)+Profiles!$B$10*IF(I4="",F4,I4))+Profiles!$C$4*G4)/1000000+Profiles!$D$4*IF(J4="",0,J4)</f>
        <v/>
      </c>
      <c r="M4" s="10">
        <f>(Profiles!$B$5*(Profiles!$B$9*F4+Profiles!$B$8*IF(H4="",F4,H4)+Profiles!$B$10*IF(I4="",F4,I4))+Profiles!$C$5*G4)/1000000+Profiles!$D$5*IF(J4="",0,J4)</f>
        <v/>
      </c>
      <c r="N4" s="10">
        <f>K4+L4+M4</f>
        <v/>
      </c>
      <c r="O4" s="10">
        <f>3*N4</f>
        <v/>
      </c>
    </row>
    <row r="5">
      <c r="A5" s="6" t="n">
        <v>4</v>
      </c>
      <c r="B5" s="6" t="inlineStr">
        <is>
          <t>anthropic/claude-opus-5.5</t>
        </is>
      </c>
      <c r="C5" s="6" t="inlineStr">
        <is>
          <t>2026-09-22</t>
        </is>
      </c>
      <c r="D5" s="6" t="inlineStr"/>
      <c r="E5" s="6" t="inlineStr">
        <is>
          <t>yes</t>
        </is>
      </c>
      <c r="F5" s="7" t="n">
        <v>4</v>
      </c>
      <c r="G5" s="7" t="n">
        <v>20</v>
      </c>
      <c r="H5" s="7" t="n">
        <v>0.2</v>
      </c>
      <c r="I5" s="7" t="n">
        <v>5</v>
      </c>
      <c r="J5" s="7" t="n"/>
      <c r="K5" s="8">
        <f>(Profiles!$B$3*(Profiles!$B$9*F5+Profiles!$B$8*IF(H5="",F5,H5)+Profiles!$B$10*IF(I5="",F5,I5))+Profiles!$C$3*G5)/1000000+Profiles!$D$3*IF(J5="",0,J5)</f>
        <v/>
      </c>
      <c r="L5" s="8">
        <f>(Profiles!$B$4*(Profiles!$B$9*F5+Profiles!$B$8*IF(H5="",F5,H5)+Profiles!$B$10*IF(I5="",F5,I5))+Profiles!$C$4*G5)/1000000+Profiles!$D$4*IF(J5="",0,J5)</f>
        <v/>
      </c>
      <c r="M5" s="8">
        <f>(Profiles!$B$5*(Profiles!$B$9*F5+Profiles!$B$8*IF(H5="",F5,H5)+Profiles!$B$10*IF(I5="",F5,I5))+Profiles!$C$5*G5)/1000000+Profiles!$D$5*IF(J5="",0,J5)</f>
        <v/>
      </c>
      <c r="N5" s="8">
        <f>K5+L5+M5</f>
        <v/>
      </c>
      <c r="O5" s="8">
        <f>3*N5</f>
        <v/>
      </c>
    </row>
    <row r="6">
      <c r="A6" t="n">
        <v>5</v>
      </c>
      <c r="B6" t="inlineStr">
        <is>
          <t>fireworks/ember-1</t>
        </is>
      </c>
      <c r="C6" t="inlineStr">
        <is>
          <t>2026-09-24</t>
        </is>
      </c>
      <c r="D6" t="inlineStr">
        <is>
          <t>Kimi K3 fine-tune with shorter reasoning (likely cheaper than shown)</t>
        </is>
      </c>
      <c r="E6" t="inlineStr"/>
      <c r="F6" s="9" t="n">
        <v>3</v>
      </c>
      <c r="G6" s="9" t="n">
        <v>15</v>
      </c>
      <c r="H6" s="9" t="n">
        <v>0.3</v>
      </c>
      <c r="I6" s="9" t="n"/>
      <c r="J6" s="9" t="n"/>
      <c r="K6" s="10">
        <f>(Profiles!$B$3*(Profiles!$B$9*F6+Profiles!$B$8*IF(H6="",F6,H6)+Profiles!$B$10*IF(I6="",F6,I6))+Profiles!$C$3*G6)/1000000+Profiles!$D$3*IF(J6="",0,J6)</f>
        <v/>
      </c>
      <c r="L6" s="10">
        <f>(Profiles!$B$4*(Profiles!$B$9*F6+Profiles!$B$8*IF(H6="",F6,H6)+Profiles!$B$10*IF(I6="",F6,I6))+Profiles!$C$4*G6)/1000000+Profiles!$D$4*IF(J6="",0,J6)</f>
        <v/>
      </c>
      <c r="M6" s="10">
        <f>(Profiles!$B$5*(Profiles!$B$9*F6+Profiles!$B$8*IF(H6="",F6,H6)+Profiles!$B$10*IF(I6="",F6,I6))+Profiles!$C$5*G6)/1000000+Profiles!$D$5*IF(J6="",0,J6)</f>
        <v/>
      </c>
      <c r="N6" s="10">
        <f>K6+L6+M6</f>
        <v/>
      </c>
      <c r="O6" s="10">
        <f>3*N6</f>
        <v/>
      </c>
    </row>
    <row r="7">
      <c r="A7" s="6" t="n">
        <v>6</v>
      </c>
      <c r="B7" s="6" t="inlineStr">
        <is>
          <t>moonshotai/kimi-k3</t>
        </is>
      </c>
      <c r="C7" s="6" t="inlineStr">
        <is>
          <t>2026-07-16</t>
        </is>
      </c>
      <c r="D7" s="6" t="inlineStr"/>
      <c r="E7" s="6" t="inlineStr">
        <is>
          <t>yes</t>
        </is>
      </c>
      <c r="F7" s="7" t="n">
        <v>3</v>
      </c>
      <c r="G7" s="7" t="n">
        <v>15</v>
      </c>
      <c r="H7" s="7" t="n">
        <v>0.3</v>
      </c>
      <c r="I7" s="7" t="n"/>
      <c r="J7" s="7" t="n"/>
      <c r="K7" s="8">
        <f>(Profiles!$B$3*(Profiles!$B$9*F7+Profiles!$B$8*IF(H7="",F7,H7)+Profiles!$B$10*IF(I7="",F7,I7))+Profiles!$C$3*G7)/1000000+Profiles!$D$3*IF(J7="",0,J7)</f>
        <v/>
      </c>
      <c r="L7" s="8">
        <f>(Profiles!$B$4*(Profiles!$B$9*F7+Profiles!$B$8*IF(H7="",F7,H7)+Profiles!$B$10*IF(I7="",F7,I7))+Profiles!$C$4*G7)/1000000+Profiles!$D$4*IF(J7="",0,J7)</f>
        <v/>
      </c>
      <c r="M7" s="8">
        <f>(Profiles!$B$5*(Profiles!$B$9*F7+Profiles!$B$8*IF(H7="",F7,H7)+Profiles!$B$10*IF(I7="",F7,I7))+Profiles!$C$5*G7)/1000000+Profiles!$D$5*IF(J7="",0,J7)</f>
        <v/>
      </c>
      <c r="N7" s="8">
        <f>K7+L7+M7</f>
        <v/>
      </c>
      <c r="O7" s="8">
        <f>3*N7</f>
        <v/>
      </c>
    </row>
    <row r="8">
      <c r="A8" t="n">
        <v>7</v>
      </c>
      <c r="B8" t="inlineStr">
        <is>
          <t>xiaomi/mimo-v2.6-pro-ultraspeed</t>
        </is>
      </c>
      <c r="C8" t="inlineStr">
        <is>
          <t>2026-09-21</t>
        </is>
      </c>
      <c r="D8" t="inlineStr"/>
      <c r="E8" t="inlineStr"/>
      <c r="F8" s="9" t="n">
        <v>4.35</v>
      </c>
      <c r="G8" s="9" t="n">
        <v>8.699999999999999</v>
      </c>
      <c r="H8" s="9" t="n">
        <v>0.036</v>
      </c>
      <c r="I8" s="9" t="n"/>
      <c r="J8" s="9" t="n"/>
      <c r="K8" s="10">
        <f>(Profiles!$B$3*(Profiles!$B$9*F8+Profiles!$B$8*IF(H8="",F8,H8)+Profiles!$B$10*IF(I8="",F8,I8))+Profiles!$C$3*G8)/1000000+Profiles!$D$3*IF(J8="",0,J8)</f>
        <v/>
      </c>
      <c r="L8" s="10">
        <f>(Profiles!$B$4*(Profiles!$B$9*F8+Profiles!$B$8*IF(H8="",F8,H8)+Profiles!$B$10*IF(I8="",F8,I8))+Profiles!$C$4*G8)/1000000+Profiles!$D$4*IF(J8="",0,J8)</f>
        <v/>
      </c>
      <c r="M8" s="10">
        <f>(Profiles!$B$5*(Profiles!$B$9*F8+Profiles!$B$8*IF(H8="",F8,H8)+Profiles!$B$10*IF(I8="",F8,I8))+Profiles!$C$5*G8)/1000000+Profiles!$D$5*IF(J8="",0,J8)</f>
        <v/>
      </c>
      <c r="N8" s="10">
        <f>K8+L8+M8</f>
        <v/>
      </c>
      <c r="O8" s="10">
        <f>3*N8</f>
        <v/>
      </c>
    </row>
    <row r="9">
      <c r="A9" t="n">
        <v>8</v>
      </c>
      <c r="B9" t="inlineStr">
        <is>
          <t>x-ai/grok-4.7</t>
        </is>
      </c>
      <c r="C9" t="inlineStr">
        <is>
          <t>2026-09-21</t>
        </is>
      </c>
      <c r="D9" t="inlineStr"/>
      <c r="E9" t="inlineStr"/>
      <c r="F9" s="9" t="n">
        <v>1.6</v>
      </c>
      <c r="G9" s="9" t="n">
        <v>4.8</v>
      </c>
      <c r="H9" s="9" t="n">
        <v>0.4</v>
      </c>
      <c r="I9" s="9" t="n"/>
      <c r="J9" s="9" t="n"/>
      <c r="K9" s="10">
        <f>(Profiles!$B$3*(Profiles!$B$9*F9+Profiles!$B$8*IF(H9="",F9,H9)+Profiles!$B$10*IF(I9="",F9,I9))+Profiles!$C$3*G9)/1000000+Profiles!$D$3*IF(J9="",0,J9)</f>
        <v/>
      </c>
      <c r="L9" s="10">
        <f>(Profiles!$B$4*(Profiles!$B$9*F9+Profiles!$B$8*IF(H9="",F9,H9)+Profiles!$B$10*IF(I9="",F9,I9))+Profiles!$C$4*G9)/1000000+Profiles!$D$4*IF(J9="",0,J9)</f>
        <v/>
      </c>
      <c r="M9" s="10">
        <f>(Profiles!$B$5*(Profiles!$B$9*F9+Profiles!$B$8*IF(H9="",F9,H9)+Profiles!$B$10*IF(I9="",F9,I9))+Profiles!$C$5*G9)/1000000+Profiles!$D$5*IF(J9="",0,J9)</f>
        <v/>
      </c>
      <c r="N9" s="10">
        <f>K9+L9+M9</f>
        <v/>
      </c>
      <c r="O9" s="10">
        <f>3*N9</f>
        <v/>
      </c>
    </row>
    <row r="10">
      <c r="A10" t="n">
        <v>9</v>
      </c>
      <c r="B10" t="inlineStr">
        <is>
          <t>unbiased/pareto</t>
        </is>
      </c>
      <c r="C10" t="inlineStr">
        <is>
          <t>2026-09-18</t>
        </is>
      </c>
      <c r="D10" t="inlineStr">
        <is>
          <t>ensemble (several unnamed models per request): kept on purpose</t>
        </is>
      </c>
      <c r="E10" t="inlineStr"/>
      <c r="F10" s="9" t="n">
        <v>2.5</v>
      </c>
      <c r="G10" s="9" t="n">
        <v>7.5</v>
      </c>
      <c r="H10" s="9" t="n">
        <v>0.25</v>
      </c>
      <c r="I10" s="9" t="n"/>
      <c r="J10" s="9" t="n"/>
      <c r="K10" s="10">
        <f>(Profiles!$B$3*(Profiles!$B$9*F10+Profiles!$B$8*IF(H10="",F10,H10)+Profiles!$B$10*IF(I10="",F10,I10))+Profiles!$C$3*G10)/1000000+Profiles!$D$3*IF(J10="",0,J10)</f>
        <v/>
      </c>
      <c r="L10" s="10">
        <f>(Profiles!$B$4*(Profiles!$B$9*F10+Profiles!$B$8*IF(H10="",F10,H10)+Profiles!$B$10*IF(I10="",F10,I10))+Profiles!$C$4*G10)/1000000+Profiles!$D$4*IF(J10="",0,J10)</f>
        <v/>
      </c>
      <c r="M10" s="10">
        <f>(Profiles!$B$5*(Profiles!$B$9*F10+Profiles!$B$8*IF(H10="",F10,H10)+Profiles!$B$10*IF(I10="",F10,I10))+Profiles!$C$5*G10)/1000000+Profiles!$D$5*IF(J10="",0,J10)</f>
        <v/>
      </c>
      <c r="N10" s="10">
        <f>K10+L10+M10</f>
        <v/>
      </c>
      <c r="O10" s="10">
        <f>3*N10</f>
        <v/>
      </c>
    </row>
    <row r="11">
      <c r="A11" t="n">
        <v>10</v>
      </c>
      <c r="B11" t="inlineStr">
        <is>
          <t>bytedance-seed/seed-2.0-code</t>
        </is>
      </c>
      <c r="C11" t="inlineStr">
        <is>
          <t>2026-08-12</t>
        </is>
      </c>
      <c r="D11" t="inlineStr"/>
      <c r="E11" t="inlineStr"/>
      <c r="F11" s="9" t="n">
        <v>0.5</v>
      </c>
      <c r="G11" s="9" t="n">
        <v>3</v>
      </c>
      <c r="H11" s="9" t="n"/>
      <c r="I11" s="9" t="n"/>
      <c r="J11" s="9" t="n"/>
      <c r="K11" s="10">
        <f>(Profiles!$B$3*(Profiles!$B$9*F11+Profiles!$B$8*IF(H11="",F11,H11)+Profiles!$B$10*IF(I11="",F11,I11))+Profiles!$C$3*G11)/1000000+Profiles!$D$3*IF(J11="",0,J11)</f>
        <v/>
      </c>
      <c r="L11" s="10">
        <f>(Profiles!$B$4*(Profiles!$B$9*F11+Profiles!$B$8*IF(H11="",F11,H11)+Profiles!$B$10*IF(I11="",F11,I11))+Profiles!$C$4*G11)/1000000+Profiles!$D$4*IF(J11="",0,J11)</f>
        <v/>
      </c>
      <c r="M11" s="10">
        <f>(Profiles!$B$5*(Profiles!$B$9*F11+Profiles!$B$8*IF(H11="",F11,H11)+Profiles!$B$10*IF(I11="",F11,I11))+Profiles!$C$5*G11)/1000000+Profiles!$D$5*IF(J11="",0,J11)</f>
        <v/>
      </c>
      <c r="N11" s="10">
        <f>K11+L11+M11</f>
        <v/>
      </c>
      <c r="O11" s="10">
        <f>3*N11</f>
        <v/>
      </c>
    </row>
    <row r="12">
      <c r="A12" t="n">
        <v>11</v>
      </c>
      <c r="B12" t="inlineStr">
        <is>
          <t>bytedance-seed/seed-2-1-turbo</t>
        </is>
      </c>
      <c r="C12" t="inlineStr">
        <is>
          <t>2026-08-12</t>
        </is>
      </c>
      <c r="D12" t="inlineStr"/>
      <c r="E12" t="inlineStr"/>
      <c r="F12" s="9" t="n">
        <v>0.5</v>
      </c>
      <c r="G12" s="9" t="n">
        <v>2.5</v>
      </c>
      <c r="H12" s="9" t="n"/>
      <c r="I12" s="9" t="n"/>
      <c r="J12" s="9" t="n"/>
      <c r="K12" s="10">
        <f>(Profiles!$B$3*(Profiles!$B$9*F12+Profiles!$B$8*IF(H12="",F12,H12)+Profiles!$B$10*IF(I12="",F12,I12))+Profiles!$C$3*G12)/1000000+Profiles!$D$3*IF(J12="",0,J12)</f>
        <v/>
      </c>
      <c r="L12" s="10">
        <f>(Profiles!$B$4*(Profiles!$B$9*F12+Profiles!$B$8*IF(H12="",F12,H12)+Profiles!$B$10*IF(I12="",F12,I12))+Profiles!$C$4*G12)/1000000+Profiles!$D$4*IF(J12="",0,J12)</f>
        <v/>
      </c>
      <c r="M12" s="10">
        <f>(Profiles!$B$5*(Profiles!$B$9*F12+Profiles!$B$8*IF(H12="",F12,H12)+Profiles!$B$10*IF(I12="",F12,I12))+Profiles!$C$5*G12)/1000000+Profiles!$D$5*IF(J12="",0,J12)</f>
        <v/>
      </c>
      <c r="N12" s="10">
        <f>K12+L12+M12</f>
        <v/>
      </c>
      <c r="O12" s="10">
        <f>3*N12</f>
        <v/>
      </c>
    </row>
    <row r="13">
      <c r="A13" t="n">
        <v>12</v>
      </c>
      <c r="B13" t="inlineStr">
        <is>
          <t>openai/gpt-5.6-terra</t>
        </is>
      </c>
      <c r="C13" t="inlineStr">
        <is>
          <t>2026-07-09</t>
        </is>
      </c>
      <c r="D13" t="inlineStr"/>
      <c r="E13" t="inlineStr"/>
      <c r="F13" s="9" t="n">
        <v>2</v>
      </c>
      <c r="G13" s="9" t="n">
        <v>12</v>
      </c>
      <c r="H13" s="9" t="n">
        <v>0.2</v>
      </c>
      <c r="I13" s="9" t="n">
        <v>2.5</v>
      </c>
      <c r="J13" s="9" t="n"/>
      <c r="K13" s="10">
        <f>(Profiles!$B$3*(Profiles!$B$9*F13+Profiles!$B$8*IF(H13="",F13,H13)+Profiles!$B$10*IF(I13="",F13,I13))+Profiles!$C$3*G13)/1000000+Profiles!$D$3*IF(J13="",0,J13)</f>
        <v/>
      </c>
      <c r="L13" s="10">
        <f>(Profiles!$B$4*(Profiles!$B$9*F13+Profiles!$B$8*IF(H13="",F13,H13)+Profiles!$B$10*IF(I13="",F13,I13))+Profiles!$C$4*G13)/1000000+Profiles!$D$4*IF(J13="",0,J13)</f>
        <v/>
      </c>
      <c r="M13" s="10">
        <f>(Profiles!$B$5*(Profiles!$B$9*F13+Profiles!$B$8*IF(H13="",F13,H13)+Profiles!$B$10*IF(I13="",F13,I13))+Profiles!$C$5*G13)/1000000+Profiles!$D$5*IF(J13="",0,J13)</f>
        <v/>
      </c>
      <c r="N13" s="10">
        <f>K13+L13+M13</f>
        <v/>
      </c>
      <c r="O13" s="10">
        <f>3*N13</f>
        <v/>
      </c>
    </row>
    <row r="14">
      <c r="A14" t="n">
        <v>13</v>
      </c>
      <c r="B14" t="inlineStr">
        <is>
          <t>qwen/qwen3.8-max-0902</t>
        </is>
      </c>
      <c r="C14" t="inlineStr">
        <is>
          <t>2026-09-03</t>
        </is>
      </c>
      <c r="D14" t="inlineStr"/>
      <c r="E14" t="inlineStr"/>
      <c r="F14" s="9" t="n">
        <v>2</v>
      </c>
      <c r="G14" s="9" t="n">
        <v>6</v>
      </c>
      <c r="H14" s="9" t="n">
        <v>0.25</v>
      </c>
      <c r="I14" s="9" t="n">
        <v>2.5</v>
      </c>
      <c r="J14" s="9" t="n"/>
      <c r="K14" s="10">
        <f>(Profiles!$B$3*(Profiles!$B$9*F14+Profiles!$B$8*IF(H14="",F14,H14)+Profiles!$B$10*IF(I14="",F14,I14))+Profiles!$C$3*G14)/1000000+Profiles!$D$3*IF(J14="",0,J14)</f>
        <v/>
      </c>
      <c r="L14" s="10">
        <f>(Profiles!$B$4*(Profiles!$B$9*F14+Profiles!$B$8*IF(H14="",F14,H14)+Profiles!$B$10*IF(I14="",F14,I14))+Profiles!$C$4*G14)/1000000+Profiles!$D$4*IF(J14="",0,J14)</f>
        <v/>
      </c>
      <c r="M14" s="10">
        <f>(Profiles!$B$5*(Profiles!$B$9*F14+Profiles!$B$8*IF(H14="",F14,H14)+Profiles!$B$10*IF(I14="",F14,I14))+Profiles!$C$5*G14)/1000000+Profiles!$D$5*IF(J14="",0,J14)</f>
        <v/>
      </c>
      <c r="N14" s="10">
        <f>K14+L14+M14</f>
        <v/>
      </c>
      <c r="O14" s="10">
        <f>3*N14</f>
        <v/>
      </c>
    </row>
    <row r="15">
      <c r="A15" t="n">
        <v>14</v>
      </c>
      <c r="B15" t="inlineStr">
        <is>
          <t>openai/gpt-6-sol</t>
        </is>
      </c>
      <c r="C15" t="inlineStr">
        <is>
          <t>2026-09-22</t>
        </is>
      </c>
      <c r="D15" t="inlineStr"/>
      <c r="E15" t="inlineStr"/>
      <c r="F15" s="9" t="n">
        <v>2</v>
      </c>
      <c r="G15" s="9" t="n">
        <v>10</v>
      </c>
      <c r="H15" s="9" t="n">
        <v>0.2</v>
      </c>
      <c r="I15" s="9" t="n">
        <v>2.5</v>
      </c>
      <c r="J15" s="9" t="n"/>
      <c r="K15" s="10">
        <f>(Profiles!$B$3*(Profiles!$B$9*F15+Profiles!$B$8*IF(H15="",F15,H15)+Profiles!$B$10*IF(I15="",F15,I15))+Profiles!$C$3*G15)/1000000+Profiles!$D$3*IF(J15="",0,J15)</f>
        <v/>
      </c>
      <c r="L15" s="10">
        <f>(Profiles!$B$4*(Profiles!$B$9*F15+Profiles!$B$8*IF(H15="",F15,H15)+Profiles!$B$10*IF(I15="",F15,I15))+Profiles!$C$4*G15)/1000000+Profiles!$D$4*IF(J15="",0,J15)</f>
        <v/>
      </c>
      <c r="M15" s="10">
        <f>(Profiles!$B$5*(Profiles!$B$9*F15+Profiles!$B$8*IF(H15="",F15,H15)+Profiles!$B$10*IF(I15="",F15,I15))+Profiles!$C$5*G15)/1000000+Profiles!$D$5*IF(J15="",0,J15)</f>
        <v/>
      </c>
      <c r="N15" s="10">
        <f>K15+L15+M15</f>
        <v/>
      </c>
      <c r="O15" s="10">
        <f>3*N15</f>
        <v/>
      </c>
    </row>
    <row r="16">
      <c r="A16" t="n">
        <v>15</v>
      </c>
      <c r="B16" t="inlineStr">
        <is>
          <t>anthropic/claude-sonnet-5</t>
        </is>
      </c>
      <c r="C16" t="inlineStr">
        <is>
          <t>2026-06-30</t>
        </is>
      </c>
      <c r="D16" t="inlineStr"/>
      <c r="E16" t="inlineStr"/>
      <c r="F16" s="9" t="n">
        <v>2</v>
      </c>
      <c r="G16" s="9" t="n">
        <v>10</v>
      </c>
      <c r="H16" s="9" t="n">
        <v>0.2</v>
      </c>
      <c r="I16" s="9" t="n">
        <v>2.5</v>
      </c>
      <c r="J16" s="9" t="n"/>
      <c r="K16" s="10">
        <f>(Profiles!$B$3*(Profiles!$B$9*F16+Profiles!$B$8*IF(H16="",F16,H16)+Profiles!$B$10*IF(I16="",F16,I16))+Profiles!$C$3*G16)/1000000+Profiles!$D$3*IF(J16="",0,J16)</f>
        <v/>
      </c>
      <c r="L16" s="10">
        <f>(Profiles!$B$4*(Profiles!$B$9*F16+Profiles!$B$8*IF(H16="",F16,H16)+Profiles!$B$10*IF(I16="",F16,I16))+Profiles!$C$4*G16)/1000000+Profiles!$D$4*IF(J16="",0,J16)</f>
        <v/>
      </c>
      <c r="M16" s="10">
        <f>(Profiles!$B$5*(Profiles!$B$9*F16+Profiles!$B$8*IF(H16="",F16,H16)+Profiles!$B$10*IF(I16="",F16,I16))+Profiles!$C$5*G16)/1000000+Profiles!$D$5*IF(J16="",0,J16)</f>
        <v/>
      </c>
      <c r="N16" s="10">
        <f>K16+L16+M16</f>
        <v/>
      </c>
      <c r="O16" s="10">
        <f>3*N16</f>
        <v/>
      </c>
    </row>
    <row r="17">
      <c r="A17" t="n">
        <v>16</v>
      </c>
      <c r="B17" t="inlineStr">
        <is>
          <t>z-ai/glm-5v-turbo</t>
        </is>
      </c>
      <c r="C17" t="inlineStr">
        <is>
          <t>2026-04-01</t>
        </is>
      </c>
      <c r="D17" t="inlineStr"/>
      <c r="E17" t="inlineStr"/>
      <c r="F17" s="9" t="n">
        <v>1.2</v>
      </c>
      <c r="G17" s="9" t="n">
        <v>4</v>
      </c>
      <c r="H17" s="9" t="n">
        <v>0.24</v>
      </c>
      <c r="I17" s="9" t="n"/>
      <c r="J17" s="9" t="n"/>
      <c r="K17" s="10">
        <f>(Profiles!$B$3*(Profiles!$B$9*F17+Profiles!$B$8*IF(H17="",F17,H17)+Profiles!$B$10*IF(I17="",F17,I17))+Profiles!$C$3*G17)/1000000+Profiles!$D$3*IF(J17="",0,J17)</f>
        <v/>
      </c>
      <c r="L17" s="10">
        <f>(Profiles!$B$4*(Profiles!$B$9*F17+Profiles!$B$8*IF(H17="",F17,H17)+Profiles!$B$10*IF(I17="",F17,I17))+Profiles!$C$4*G17)/1000000+Profiles!$D$4*IF(J17="",0,J17)</f>
        <v/>
      </c>
      <c r="M17" s="10">
        <f>(Profiles!$B$5*(Profiles!$B$9*F17+Profiles!$B$8*IF(H17="",F17,H17)+Profiles!$B$10*IF(I17="",F17,I17))+Profiles!$C$5*G17)/1000000+Profiles!$D$5*IF(J17="",0,J17)</f>
        <v/>
      </c>
      <c r="N17" s="10">
        <f>K17+L17+M17</f>
        <v/>
      </c>
      <c r="O17" s="10">
        <f>3*N17</f>
        <v/>
      </c>
    </row>
    <row r="18">
      <c r="A18" t="n">
        <v>17</v>
      </c>
      <c r="B18" t="inlineStr">
        <is>
          <t>mistralai/mistral-medium-3-5</t>
        </is>
      </c>
      <c r="C18" t="inlineStr">
        <is>
          <t>2026-04-30</t>
        </is>
      </c>
      <c r="D18" t="inlineStr">
        <is>
          <t>cached tokens at 10% per Mistral (not listed on OpenRouter)</t>
        </is>
      </c>
      <c r="E18" t="inlineStr"/>
      <c r="F18" s="9" t="n">
        <v>1.5</v>
      </c>
      <c r="G18" s="9" t="n">
        <v>7.5</v>
      </c>
      <c r="H18" s="9" t="n">
        <v>0.15</v>
      </c>
      <c r="I18" s="9" t="n"/>
      <c r="J18" s="9" t="n"/>
      <c r="K18" s="10">
        <f>(Profiles!$B$3*(Profiles!$B$9*F18+Profiles!$B$8*IF(H18="",F18,H18)+Profiles!$B$10*IF(I18="",F18,I18))+Profiles!$C$3*G18)/1000000+Profiles!$D$3*IF(J18="",0,J18)</f>
        <v/>
      </c>
      <c r="L18" s="10">
        <f>(Profiles!$B$4*(Profiles!$B$9*F18+Profiles!$B$8*IF(H18="",F18,H18)+Profiles!$B$10*IF(I18="",F18,I18))+Profiles!$C$4*G18)/1000000+Profiles!$D$4*IF(J18="",0,J18)</f>
        <v/>
      </c>
      <c r="M18" s="10">
        <f>(Profiles!$B$5*(Profiles!$B$9*F18+Profiles!$B$8*IF(H18="",F18,H18)+Profiles!$B$10*IF(I18="",F18,I18))+Profiles!$C$5*G18)/1000000+Profiles!$D$5*IF(J18="",0,J18)</f>
        <v/>
      </c>
      <c r="N18" s="10">
        <f>K18+L18+M18</f>
        <v/>
      </c>
      <c r="O18" s="10">
        <f>3*N18</f>
        <v/>
      </c>
    </row>
    <row r="19">
      <c r="A19" t="n">
        <v>18</v>
      </c>
      <c r="B19" t="inlineStr">
        <is>
          <t>x-ai/grok-build-0.1</t>
        </is>
      </c>
      <c r="C19" t="inlineStr">
        <is>
          <t>2026-05-20</t>
        </is>
      </c>
      <c r="D19" t="inlineStr">
        <is>
          <t>xAI's coding model</t>
        </is>
      </c>
      <c r="E19" t="inlineStr"/>
      <c r="F19" s="9" t="n">
        <v>1</v>
      </c>
      <c r="G19" s="9" t="n">
        <v>2</v>
      </c>
      <c r="H19" s="9" t="n">
        <v>0.2</v>
      </c>
      <c r="I19" s="9" t="n"/>
      <c r="J19" s="9" t="n"/>
      <c r="K19" s="10">
        <f>(Profiles!$B$3*(Profiles!$B$9*F19+Profiles!$B$8*IF(H19="",F19,H19)+Profiles!$B$10*IF(I19="",F19,I19))+Profiles!$C$3*G19)/1000000+Profiles!$D$3*IF(J19="",0,J19)</f>
        <v/>
      </c>
      <c r="L19" s="10">
        <f>(Profiles!$B$4*(Profiles!$B$9*F19+Profiles!$B$8*IF(H19="",F19,H19)+Profiles!$B$10*IF(I19="",F19,I19))+Profiles!$C$4*G19)/1000000+Profiles!$D$4*IF(J19="",0,J19)</f>
        <v/>
      </c>
      <c r="M19" s="10">
        <f>(Profiles!$B$5*(Profiles!$B$9*F19+Profiles!$B$8*IF(H19="",F19,H19)+Profiles!$B$10*IF(I19="",F19,I19))+Profiles!$C$5*G19)/1000000+Profiles!$D$5*IF(J19="",0,J19)</f>
        <v/>
      </c>
      <c r="N19" s="10">
        <f>K19+L19+M19</f>
        <v/>
      </c>
      <c r="O19" s="10">
        <f>3*N19</f>
        <v/>
      </c>
    </row>
    <row r="20">
      <c r="A20" s="6" t="n">
        <v>19</v>
      </c>
      <c r="B20" s="6" t="inlineStr">
        <is>
          <t>meta/muse-spark-1.3</t>
        </is>
      </c>
      <c r="C20" s="6" t="inlineStr">
        <is>
          <t>2026-09-02</t>
        </is>
      </c>
      <c r="D20" s="6" t="inlineStr"/>
      <c r="E20" s="6" t="inlineStr">
        <is>
          <t>yes</t>
        </is>
      </c>
      <c r="F20" s="7" t="n">
        <v>1.25</v>
      </c>
      <c r="G20" s="7" t="n">
        <v>4.25</v>
      </c>
      <c r="H20" s="7" t="n">
        <v>0.15</v>
      </c>
      <c r="I20" s="7" t="n"/>
      <c r="J20" s="7" t="n"/>
      <c r="K20" s="8">
        <f>(Profiles!$B$3*(Profiles!$B$9*F20+Profiles!$B$8*IF(H20="",F20,H20)+Profiles!$B$10*IF(I20="",F20,I20))+Profiles!$C$3*G20)/1000000+Profiles!$D$3*IF(J20="",0,J20)</f>
        <v/>
      </c>
      <c r="L20" s="8">
        <f>(Profiles!$B$4*(Profiles!$B$9*F20+Profiles!$B$8*IF(H20="",F20,H20)+Profiles!$B$10*IF(I20="",F20,I20))+Profiles!$C$4*G20)/1000000+Profiles!$D$4*IF(J20="",0,J20)</f>
        <v/>
      </c>
      <c r="M20" s="8">
        <f>(Profiles!$B$5*(Profiles!$B$9*F20+Profiles!$B$8*IF(H20="",F20,H20)+Profiles!$B$10*IF(I20="",F20,I20))+Profiles!$C$5*G20)/1000000+Profiles!$D$5*IF(J20="",0,J20)</f>
        <v/>
      </c>
      <c r="N20" s="8">
        <f>K20+L20+M20</f>
        <v/>
      </c>
      <c r="O20" s="8">
        <f>3*N20</f>
        <v/>
      </c>
    </row>
    <row r="21">
      <c r="A21" t="n">
        <v>20</v>
      </c>
      <c r="B21" t="inlineStr">
        <is>
          <t>thinkingmachines/inkling</t>
        </is>
      </c>
      <c r="C21" t="inlineStr">
        <is>
          <t>2026-07-17</t>
        </is>
      </c>
      <c r="D21" t="inlineStr"/>
      <c r="E21" t="inlineStr"/>
      <c r="F21" s="9" t="n">
        <v>1</v>
      </c>
      <c r="G21" s="9" t="n">
        <v>4.05</v>
      </c>
      <c r="H21" s="9" t="n">
        <v>0.17</v>
      </c>
      <c r="I21" s="9" t="n"/>
      <c r="J21" s="9" t="n"/>
      <c r="K21" s="10">
        <f>(Profiles!$B$3*(Profiles!$B$9*F21+Profiles!$B$8*IF(H21="",F21,H21)+Profiles!$B$10*IF(I21="",F21,I21))+Profiles!$C$3*G21)/1000000+Profiles!$D$3*IF(J21="",0,J21)</f>
        <v/>
      </c>
      <c r="L21" s="10">
        <f>(Profiles!$B$4*(Profiles!$B$9*F21+Profiles!$B$8*IF(H21="",F21,H21)+Profiles!$B$10*IF(I21="",F21,I21))+Profiles!$C$4*G21)/1000000+Profiles!$D$4*IF(J21="",0,J21)</f>
        <v/>
      </c>
      <c r="M21" s="10">
        <f>(Profiles!$B$5*(Profiles!$B$9*F21+Profiles!$B$8*IF(H21="",F21,H21)+Profiles!$B$10*IF(I21="",F21,I21))+Profiles!$C$5*G21)/1000000+Profiles!$D$5*IF(J21="",0,J21)</f>
        <v/>
      </c>
      <c r="N21" s="10">
        <f>K21+L21+M21</f>
        <v/>
      </c>
      <c r="O21" s="10">
        <f>3*N21</f>
        <v/>
      </c>
    </row>
    <row r="22">
      <c r="A22" t="n">
        <v>21</v>
      </c>
      <c r="B22" t="inlineStr">
        <is>
          <t>moonshotai/kimi-k2.7-code</t>
        </is>
      </c>
      <c r="C22" t="inlineStr">
        <is>
          <t>2026-06-12</t>
        </is>
      </c>
      <c r="D22" t="inlineStr"/>
      <c r="E22" t="inlineStr"/>
      <c r="F22" s="9" t="n">
        <v>0.6562</v>
      </c>
      <c r="G22" s="9" t="n">
        <v>3.3</v>
      </c>
      <c r="H22" s="9" t="n">
        <v>0.18</v>
      </c>
      <c r="I22" s="9" t="n"/>
      <c r="J22" s="9" t="n"/>
      <c r="K22" s="10">
        <f>(Profiles!$B$3*(Profiles!$B$9*F22+Profiles!$B$8*IF(H22="",F22,H22)+Profiles!$B$10*IF(I22="",F22,I22))+Profiles!$C$3*G22)/1000000+Profiles!$D$3*IF(J22="",0,J22)</f>
        <v/>
      </c>
      <c r="L22" s="10">
        <f>(Profiles!$B$4*(Profiles!$B$9*F22+Profiles!$B$8*IF(H22="",F22,H22)+Profiles!$B$10*IF(I22="",F22,I22))+Profiles!$C$4*G22)/1000000+Profiles!$D$4*IF(J22="",0,J22)</f>
        <v/>
      </c>
      <c r="M22" s="10">
        <f>(Profiles!$B$5*(Profiles!$B$9*F22+Profiles!$B$8*IF(H22="",F22,H22)+Profiles!$B$10*IF(I22="",F22,I22))+Profiles!$C$5*G22)/1000000+Profiles!$D$5*IF(J22="",0,J22)</f>
        <v/>
      </c>
      <c r="N22" s="10">
        <f>K22+L22+M22</f>
        <v/>
      </c>
      <c r="O22" s="10">
        <f>3*N22</f>
        <v/>
      </c>
    </row>
    <row r="23">
      <c r="A23" t="n">
        <v>22</v>
      </c>
      <c r="B23" t="inlineStr">
        <is>
          <t>cohere/command-a-plus</t>
        </is>
      </c>
      <c r="C23" t="inlineStr">
        <is>
          <t>2026-09-22</t>
        </is>
      </c>
      <c r="D23" t="inlineStr"/>
      <c r="E23" t="inlineStr"/>
      <c r="F23" s="9" t="n">
        <v>0.3</v>
      </c>
      <c r="G23" s="9" t="n">
        <v>1.5</v>
      </c>
      <c r="H23" s="9" t="n">
        <v>0.15</v>
      </c>
      <c r="I23" s="9" t="n"/>
      <c r="J23" s="9" t="n"/>
      <c r="K23" s="10">
        <f>(Profiles!$B$3*(Profiles!$B$9*F23+Profiles!$B$8*IF(H23="",F23,H23)+Profiles!$B$10*IF(I23="",F23,I23))+Profiles!$C$3*G23)/1000000+Profiles!$D$3*IF(J23="",0,J23)</f>
        <v/>
      </c>
      <c r="L23" s="10">
        <f>(Profiles!$B$4*(Profiles!$B$9*F23+Profiles!$B$8*IF(H23="",F23,H23)+Profiles!$B$10*IF(I23="",F23,I23))+Profiles!$C$4*G23)/1000000+Profiles!$D$4*IF(J23="",0,J23)</f>
        <v/>
      </c>
      <c r="M23" s="10">
        <f>(Profiles!$B$5*(Profiles!$B$9*F23+Profiles!$B$8*IF(H23="",F23,H23)+Profiles!$B$10*IF(I23="",F23,I23))+Profiles!$C$5*G23)/1000000+Profiles!$D$5*IF(J23="",0,J23)</f>
        <v/>
      </c>
      <c r="N23" s="10">
        <f>K23+L23+M23</f>
        <v/>
      </c>
      <c r="O23" s="10">
        <f>3*N23</f>
        <v/>
      </c>
    </row>
    <row r="24">
      <c r="A24" t="n">
        <v>23</v>
      </c>
      <c r="B24" t="inlineStr">
        <is>
          <t>perceptron/perceptron-mk1.5</t>
        </is>
      </c>
      <c r="C24" t="inlineStr">
        <is>
          <t>2026-09-25</t>
        </is>
      </c>
      <c r="D24" t="inlineStr"/>
      <c r="E24" t="inlineStr"/>
      <c r="F24" s="9" t="n">
        <v>0.15</v>
      </c>
      <c r="G24" s="9" t="n">
        <v>1.5</v>
      </c>
      <c r="H24" s="9" t="n"/>
      <c r="I24" s="9" t="n"/>
      <c r="J24" s="9" t="n"/>
      <c r="K24" s="10">
        <f>(Profiles!$B$3*(Profiles!$B$9*F24+Profiles!$B$8*IF(H24="",F24,H24)+Profiles!$B$10*IF(I24="",F24,I24))+Profiles!$C$3*G24)/1000000+Profiles!$D$3*IF(J24="",0,J24)</f>
        <v/>
      </c>
      <c r="L24" s="10">
        <f>(Profiles!$B$4*(Profiles!$B$9*F24+Profiles!$B$8*IF(H24="",F24,H24)+Profiles!$B$10*IF(I24="",F24,I24))+Profiles!$C$4*G24)/1000000+Profiles!$D$4*IF(J24="",0,J24)</f>
        <v/>
      </c>
      <c r="M24" s="10">
        <f>(Profiles!$B$5*(Profiles!$B$9*F24+Profiles!$B$8*IF(H24="",F24,H24)+Profiles!$B$10*IF(I24="",F24,I24))+Profiles!$C$5*G24)/1000000+Profiles!$D$5*IF(J24="",0,J24)</f>
        <v/>
      </c>
      <c r="N24" s="10">
        <f>K24+L24+M24</f>
        <v/>
      </c>
      <c r="O24" s="10">
        <f>3*N24</f>
        <v/>
      </c>
    </row>
    <row r="25">
      <c r="A25" s="6" t="n">
        <v>24</v>
      </c>
      <c r="B25" s="6" t="inlineStr">
        <is>
          <t>google/gemini-3.8-flash</t>
        </is>
      </c>
      <c r="C25" s="6" t="inlineStr">
        <is>
          <t>2026-09-02</t>
        </is>
      </c>
      <c r="D25" s="6" t="inlineStr"/>
      <c r="E25" s="6" t="inlineStr">
        <is>
          <t>yes</t>
        </is>
      </c>
      <c r="F25" s="7" t="n">
        <v>0.75</v>
      </c>
      <c r="G25" s="7" t="n">
        <v>3.75</v>
      </c>
      <c r="H25" s="7" t="n">
        <v>0.075</v>
      </c>
      <c r="I25" s="7" t="n">
        <v>0.0416666666666667</v>
      </c>
      <c r="J25" s="7" t="n">
        <v>7.5e-07</v>
      </c>
      <c r="K25" s="8">
        <f>(Profiles!$B$3*(Profiles!$B$9*F25+Profiles!$B$8*IF(H25="",F25,H25)+Profiles!$B$10*IF(I25="",F25,I25))+Profiles!$C$3*G25)/1000000+Profiles!$D$3*IF(J25="",0,J25)</f>
        <v/>
      </c>
      <c r="L25" s="8">
        <f>(Profiles!$B$4*(Profiles!$B$9*F25+Profiles!$B$8*IF(H25="",F25,H25)+Profiles!$B$10*IF(I25="",F25,I25))+Profiles!$C$4*G25)/1000000+Profiles!$D$4*IF(J25="",0,J25)</f>
        <v/>
      </c>
      <c r="M25" s="8">
        <f>(Profiles!$B$5*(Profiles!$B$9*F25+Profiles!$B$8*IF(H25="",F25,H25)+Profiles!$B$10*IF(I25="",F25,I25))+Profiles!$C$5*G25)/1000000+Profiles!$D$5*IF(J25="",0,J25)</f>
        <v/>
      </c>
      <c r="N25" s="8">
        <f>K25+L25+M25</f>
        <v/>
      </c>
      <c r="O25" s="8">
        <f>3*N25</f>
        <v/>
      </c>
    </row>
    <row r="26">
      <c r="A26" t="n">
        <v>25</v>
      </c>
      <c r="B26" t="inlineStr">
        <is>
          <t>thinkingmachines/inkling-small</t>
        </is>
      </c>
      <c r="C26" t="inlineStr">
        <is>
          <t>2026-07-30</t>
        </is>
      </c>
      <c r="D26" t="inlineStr"/>
      <c r="E26" t="inlineStr"/>
      <c r="F26" s="9" t="n">
        <v>0.45</v>
      </c>
      <c r="G26" s="9" t="n">
        <v>1.2</v>
      </c>
      <c r="H26" s="9" t="n">
        <v>0.09999999999999999</v>
      </c>
      <c r="I26" s="9" t="n"/>
      <c r="J26" s="9" t="n"/>
      <c r="K26" s="10">
        <f>(Profiles!$B$3*(Profiles!$B$9*F26+Profiles!$B$8*IF(H26="",F26,H26)+Profiles!$B$10*IF(I26="",F26,I26))+Profiles!$C$3*G26)/1000000+Profiles!$D$3*IF(J26="",0,J26)</f>
        <v/>
      </c>
      <c r="L26" s="10">
        <f>(Profiles!$B$4*(Profiles!$B$9*F26+Profiles!$B$8*IF(H26="",F26,H26)+Profiles!$B$10*IF(I26="",F26,I26))+Profiles!$C$4*G26)/1000000+Profiles!$D$4*IF(J26="",0,J26)</f>
        <v/>
      </c>
      <c r="M26" s="10">
        <f>(Profiles!$B$5*(Profiles!$B$9*F26+Profiles!$B$8*IF(H26="",F26,H26)+Profiles!$B$10*IF(I26="",F26,I26))+Profiles!$C$5*G26)/1000000+Profiles!$D$5*IF(J26="",0,J26)</f>
        <v/>
      </c>
      <c r="N26" s="10">
        <f>K26+L26+M26</f>
        <v/>
      </c>
      <c r="O26" s="10">
        <f>3*N26</f>
        <v/>
      </c>
    </row>
    <row r="27">
      <c r="A27" t="n">
        <v>26</v>
      </c>
      <c r="B27" t="inlineStr">
        <is>
          <t>qwen/qwen3.8-27b</t>
        </is>
      </c>
      <c r="C27" t="inlineStr">
        <is>
          <t>2026-08-14</t>
        </is>
      </c>
      <c r="D27" t="inlineStr"/>
      <c r="E27" t="inlineStr"/>
      <c r="F27" s="9" t="n">
        <v>0.42</v>
      </c>
      <c r="G27" s="9" t="n">
        <v>3</v>
      </c>
      <c r="H27" s="9" t="n">
        <v>0.08499999999999999</v>
      </c>
      <c r="I27" s="9" t="n"/>
      <c r="J27" s="9" t="n"/>
      <c r="K27" s="10">
        <f>(Profiles!$B$3*(Profiles!$B$9*F27+Profiles!$B$8*IF(H27="",F27,H27)+Profiles!$B$10*IF(I27="",F27,I27))+Profiles!$C$3*G27)/1000000+Profiles!$D$3*IF(J27="",0,J27)</f>
        <v/>
      </c>
      <c r="L27" s="10">
        <f>(Profiles!$B$4*(Profiles!$B$9*F27+Profiles!$B$8*IF(H27="",F27,H27)+Profiles!$B$10*IF(I27="",F27,I27))+Profiles!$C$4*G27)/1000000+Profiles!$D$4*IF(J27="",0,J27)</f>
        <v/>
      </c>
      <c r="M27" s="10">
        <f>(Profiles!$B$5*(Profiles!$B$9*F27+Profiles!$B$8*IF(H27="",F27,H27)+Profiles!$B$10*IF(I27="",F27,I27))+Profiles!$C$5*G27)/1000000+Profiles!$D$5*IF(J27="",0,J27)</f>
        <v/>
      </c>
      <c r="N27" s="10">
        <f>K27+L27+M27</f>
        <v/>
      </c>
      <c r="O27" s="10">
        <f>3*N27</f>
        <v/>
      </c>
    </row>
    <row r="28">
      <c r="A28" t="n">
        <v>27</v>
      </c>
      <c r="B28" t="inlineStr">
        <is>
          <t>z-ai/glm-5.3-flashx</t>
        </is>
      </c>
      <c r="C28" t="inlineStr">
        <is>
          <t>2026-09-18</t>
        </is>
      </c>
      <c r="D28" t="inlineStr"/>
      <c r="E28" t="inlineStr"/>
      <c r="F28" s="9" t="n">
        <v>0.37</v>
      </c>
      <c r="G28" s="9" t="n">
        <v>1.25</v>
      </c>
      <c r="H28" s="9" t="n">
        <v>0.09</v>
      </c>
      <c r="I28" s="9" t="n"/>
      <c r="J28" s="9" t="n"/>
      <c r="K28" s="10">
        <f>(Profiles!$B$3*(Profiles!$B$9*F28+Profiles!$B$8*IF(H28="",F28,H28)+Profiles!$B$10*IF(I28="",F28,I28))+Profiles!$C$3*G28)/1000000+Profiles!$D$3*IF(J28="",0,J28)</f>
        <v/>
      </c>
      <c r="L28" s="10">
        <f>(Profiles!$B$4*(Profiles!$B$9*F28+Profiles!$B$8*IF(H28="",F28,H28)+Profiles!$B$10*IF(I28="",F28,I28))+Profiles!$C$4*G28)/1000000+Profiles!$D$4*IF(J28="",0,J28)</f>
        <v/>
      </c>
      <c r="M28" s="10">
        <f>(Profiles!$B$5*(Profiles!$B$9*F28+Profiles!$B$8*IF(H28="",F28,H28)+Profiles!$B$10*IF(I28="",F28,I28))+Profiles!$C$5*G28)/1000000+Profiles!$D$5*IF(J28="",0,J28)</f>
        <v/>
      </c>
      <c r="N28" s="10">
        <f>K28+L28+M28</f>
        <v/>
      </c>
      <c r="O28" s="10">
        <f>3*N28</f>
        <v/>
      </c>
    </row>
    <row r="29">
      <c r="A29" t="n">
        <v>28</v>
      </c>
      <c r="B29" t="inlineStr">
        <is>
          <t>qwen/qwen3.7-plus</t>
        </is>
      </c>
      <c r="C29" t="inlineStr">
        <is>
          <t>2026-06-03</t>
        </is>
      </c>
      <c r="D29" t="inlineStr"/>
      <c r="E29" t="inlineStr"/>
      <c r="F29" s="9" t="n">
        <v>0.32</v>
      </c>
      <c r="G29" s="9" t="n">
        <v>1.28</v>
      </c>
      <c r="H29" s="9" t="n">
        <v>0.064</v>
      </c>
      <c r="I29" s="9" t="n">
        <v>0.4</v>
      </c>
      <c r="J29" s="9" t="n"/>
      <c r="K29" s="10">
        <f>(Profiles!$B$3*(Profiles!$B$9*F29+Profiles!$B$8*IF(H29="",F29,H29)+Profiles!$B$10*IF(I29="",F29,I29))+Profiles!$C$3*G29)/1000000+Profiles!$D$3*IF(J29="",0,J29)</f>
        <v/>
      </c>
      <c r="L29" s="10">
        <f>(Profiles!$B$4*(Profiles!$B$9*F29+Profiles!$B$8*IF(H29="",F29,H29)+Profiles!$B$10*IF(I29="",F29,I29))+Profiles!$C$4*G29)/1000000+Profiles!$D$4*IF(J29="",0,J29)</f>
        <v/>
      </c>
      <c r="M29" s="10">
        <f>(Profiles!$B$5*(Profiles!$B$9*F29+Profiles!$B$8*IF(H29="",F29,H29)+Profiles!$B$10*IF(I29="",F29,I29))+Profiles!$C$5*G29)/1000000+Profiles!$D$5*IF(J29="",0,J29)</f>
        <v/>
      </c>
      <c r="N29" s="10">
        <f>K29+L29+M29</f>
        <v/>
      </c>
      <c r="O29" s="10">
        <f>3*N29</f>
        <v/>
      </c>
    </row>
    <row r="30">
      <c r="A30" t="n">
        <v>29</v>
      </c>
      <c r="B30" t="inlineStr">
        <is>
          <t>minimax/minimax-m3</t>
        </is>
      </c>
      <c r="C30" t="inlineStr">
        <is>
          <t>2026-05-31</t>
        </is>
      </c>
      <c r="D30" t="inlineStr"/>
      <c r="E30" t="inlineStr"/>
      <c r="F30" s="9" t="n">
        <v>0.3</v>
      </c>
      <c r="G30" s="9" t="n">
        <v>1.2</v>
      </c>
      <c r="H30" s="9" t="n">
        <v>0.06</v>
      </c>
      <c r="I30" s="9" t="n"/>
      <c r="J30" s="9" t="n"/>
      <c r="K30" s="10">
        <f>(Profiles!$B$3*(Profiles!$B$9*F30+Profiles!$B$8*IF(H30="",F30,H30)+Profiles!$B$10*IF(I30="",F30,I30))+Profiles!$C$3*G30)/1000000+Profiles!$D$3*IF(J30="",0,J30)</f>
        <v/>
      </c>
      <c r="L30" s="10">
        <f>(Profiles!$B$4*(Profiles!$B$9*F30+Profiles!$B$8*IF(H30="",F30,H30)+Profiles!$B$10*IF(I30="",F30,I30))+Profiles!$C$4*G30)/1000000+Profiles!$D$4*IF(J30="",0,J30)</f>
        <v/>
      </c>
      <c r="M30" s="10">
        <f>(Profiles!$B$5*(Profiles!$B$9*F30+Profiles!$B$8*IF(H30="",F30,H30)+Profiles!$B$10*IF(I30="",F30,I30))+Profiles!$C$5*G30)/1000000+Profiles!$D$5*IF(J30="",0,J30)</f>
        <v/>
      </c>
      <c r="N30" s="10">
        <f>K30+L30+M30</f>
        <v/>
      </c>
      <c r="O30" s="10">
        <f>3*N30</f>
        <v/>
      </c>
    </row>
    <row r="31">
      <c r="A31" t="n">
        <v>30</v>
      </c>
      <c r="B31" t="inlineStr">
        <is>
          <t>prism-ml/ternary-bonsai-2-27b</t>
        </is>
      </c>
      <c r="C31" t="inlineStr">
        <is>
          <t>2026-09-18</t>
        </is>
      </c>
      <c r="D31" t="inlineStr"/>
      <c r="E31" t="inlineStr"/>
      <c r="F31" s="9" t="n">
        <v>0.075</v>
      </c>
      <c r="G31" s="9" t="n">
        <v>0.5</v>
      </c>
      <c r="H31" s="9" t="n"/>
      <c r="I31" s="9" t="n"/>
      <c r="J31" s="9" t="n"/>
      <c r="K31" s="10">
        <f>(Profiles!$B$3*(Profiles!$B$9*F31+Profiles!$B$8*IF(H31="",F31,H31)+Profiles!$B$10*IF(I31="",F31,I31))+Profiles!$C$3*G31)/1000000+Profiles!$D$3*IF(J31="",0,J31)</f>
        <v/>
      </c>
      <c r="L31" s="10">
        <f>(Profiles!$B$4*(Profiles!$B$9*F31+Profiles!$B$8*IF(H31="",F31,H31)+Profiles!$B$10*IF(I31="",F31,I31))+Profiles!$C$4*G31)/1000000+Profiles!$D$4*IF(J31="",0,J31)</f>
        <v/>
      </c>
      <c r="M31" s="10">
        <f>(Profiles!$B$5*(Profiles!$B$9*F31+Profiles!$B$8*IF(H31="",F31,H31)+Profiles!$B$10*IF(I31="",F31,I31))+Profiles!$C$5*G31)/1000000+Profiles!$D$5*IF(J31="",0,J31)</f>
        <v/>
      </c>
      <c r="N31" s="10">
        <f>K31+L31+M31</f>
        <v/>
      </c>
      <c r="O31" s="10">
        <f>3*N31</f>
        <v/>
      </c>
    </row>
    <row r="32">
      <c r="A32" t="n">
        <v>31</v>
      </c>
      <c r="B32" t="inlineStr">
        <is>
          <t>meta/muse-glimmer-30b</t>
        </is>
      </c>
      <c r="C32" t="inlineStr">
        <is>
          <t>2026-08-09</t>
        </is>
      </c>
      <c r="D32" t="inlineStr"/>
      <c r="E32" t="inlineStr"/>
      <c r="F32" s="9" t="n">
        <v>0.3</v>
      </c>
      <c r="G32" s="9" t="n">
        <v>1.2</v>
      </c>
      <c r="H32" s="9" t="n">
        <v>0.04</v>
      </c>
      <c r="I32" s="9" t="n"/>
      <c r="J32" s="9" t="n"/>
      <c r="K32" s="10">
        <f>(Profiles!$B$3*(Profiles!$B$9*F32+Profiles!$B$8*IF(H32="",F32,H32)+Profiles!$B$10*IF(I32="",F32,I32))+Profiles!$C$3*G32)/1000000+Profiles!$D$3*IF(J32="",0,J32)</f>
        <v/>
      </c>
      <c r="L32" s="10">
        <f>(Profiles!$B$4*(Profiles!$B$9*F32+Profiles!$B$8*IF(H32="",F32,H32)+Profiles!$B$10*IF(I32="",F32,I32))+Profiles!$C$4*G32)/1000000+Profiles!$D$4*IF(J32="",0,J32)</f>
        <v/>
      </c>
      <c r="M32" s="10">
        <f>(Profiles!$B$5*(Profiles!$B$9*F32+Profiles!$B$8*IF(H32="",F32,H32)+Profiles!$B$10*IF(I32="",F32,I32))+Profiles!$C$5*G32)/1000000+Profiles!$D$5*IF(J32="",0,J32)</f>
        <v/>
      </c>
      <c r="N32" s="10">
        <f>K32+L32+M32</f>
        <v/>
      </c>
      <c r="O32" s="10">
        <f>3*N32</f>
        <v/>
      </c>
    </row>
    <row r="33">
      <c r="A33" t="n">
        <v>32</v>
      </c>
      <c r="B33" t="inlineStr">
        <is>
          <t>google/gemini-3.5-flash-lite</t>
        </is>
      </c>
      <c r="C33" t="inlineStr">
        <is>
          <t>2026-07-21</t>
        </is>
      </c>
      <c r="D33" t="inlineStr">
        <is>
          <t>Flash Lite line (3.5 is its newest)</t>
        </is>
      </c>
      <c r="E33" t="inlineStr"/>
      <c r="F33" s="9" t="n">
        <v>0.3</v>
      </c>
      <c r="G33" s="9" t="n">
        <v>2.5</v>
      </c>
      <c r="H33" s="9" t="n">
        <v>0.03</v>
      </c>
      <c r="I33" s="9" t="n">
        <v>0.0833333333333333</v>
      </c>
      <c r="J33" s="9" t="n">
        <v>3e-07</v>
      </c>
      <c r="K33" s="10">
        <f>(Profiles!$B$3*(Profiles!$B$9*F33+Profiles!$B$8*IF(H33="",F33,H33)+Profiles!$B$10*IF(I33="",F33,I33))+Profiles!$C$3*G33)/1000000+Profiles!$D$3*IF(J33="",0,J33)</f>
        <v/>
      </c>
      <c r="L33" s="10">
        <f>(Profiles!$B$4*(Profiles!$B$9*F33+Profiles!$B$8*IF(H33="",F33,H33)+Profiles!$B$10*IF(I33="",F33,I33))+Profiles!$C$4*G33)/1000000+Profiles!$D$4*IF(J33="",0,J33)</f>
        <v/>
      </c>
      <c r="M33" s="10">
        <f>(Profiles!$B$5*(Profiles!$B$9*F33+Profiles!$B$8*IF(H33="",F33,H33)+Profiles!$B$10*IF(I33="",F33,I33))+Profiles!$C$5*G33)/1000000+Profiles!$D$5*IF(J33="",0,J33)</f>
        <v/>
      </c>
      <c r="N33" s="10">
        <f>K33+L33+M33</f>
        <v/>
      </c>
      <c r="O33" s="10">
        <f>3*N33</f>
        <v/>
      </c>
    </row>
    <row r="34">
      <c r="A34" t="n">
        <v>33</v>
      </c>
      <c r="B34" t="inlineStr">
        <is>
          <t>deepseek/deepseek-v4-flash-vision-exp</t>
        </is>
      </c>
      <c r="C34" t="inlineStr">
        <is>
          <t>2026-08-21</t>
        </is>
      </c>
      <c r="D34" t="inlineStr"/>
      <c r="E34" t="inlineStr"/>
      <c r="F34" s="9" t="n">
        <v>0.44</v>
      </c>
      <c r="G34" s="9" t="n">
        <v>1.32</v>
      </c>
      <c r="H34" s="9" t="n">
        <v>0.014</v>
      </c>
      <c r="I34" s="9" t="n"/>
      <c r="J34" s="9" t="n"/>
      <c r="K34" s="10">
        <f>(Profiles!$B$3*(Profiles!$B$9*F34+Profiles!$B$8*IF(H34="",F34,H34)+Profiles!$B$10*IF(I34="",F34,I34))+Profiles!$C$3*G34)/1000000+Profiles!$D$3*IF(J34="",0,J34)</f>
        <v/>
      </c>
      <c r="L34" s="10">
        <f>(Profiles!$B$4*(Profiles!$B$9*F34+Profiles!$B$8*IF(H34="",F34,H34)+Profiles!$B$10*IF(I34="",F34,I34))+Profiles!$C$4*G34)/1000000+Profiles!$D$4*IF(J34="",0,J34)</f>
        <v/>
      </c>
      <c r="M34" s="10">
        <f>(Profiles!$B$5*(Profiles!$B$9*F34+Profiles!$B$8*IF(H34="",F34,H34)+Profiles!$B$10*IF(I34="",F34,I34))+Profiles!$C$5*G34)/1000000+Profiles!$D$5*IF(J34="",0,J34)</f>
        <v/>
      </c>
      <c r="N34" s="10">
        <f>K34+L34+M34</f>
        <v/>
      </c>
      <c r="O34" s="10">
        <f>3*N34</f>
        <v/>
      </c>
    </row>
    <row r="35">
      <c r="A35" t="n">
        <v>34</v>
      </c>
      <c r="B35" t="inlineStr">
        <is>
          <t>qwen/qwen3.6-35b-a3b</t>
        </is>
      </c>
      <c r="C35" t="inlineStr">
        <is>
          <t>2026-04-27</t>
        </is>
      </c>
      <c r="D35" t="inlineStr"/>
      <c r="E35" t="inlineStr"/>
      <c r="F35" s="9" t="n">
        <v>0.15</v>
      </c>
      <c r="G35" s="9" t="n">
        <v>1</v>
      </c>
      <c r="H35" s="9" t="n">
        <v>0.05</v>
      </c>
      <c r="I35" s="9" t="n"/>
      <c r="J35" s="9" t="n"/>
      <c r="K35" s="10">
        <f>(Profiles!$B$3*(Profiles!$B$9*F35+Profiles!$B$8*IF(H35="",F35,H35)+Profiles!$B$10*IF(I35="",F35,I35))+Profiles!$C$3*G35)/1000000+Profiles!$D$3*IF(J35="",0,J35)</f>
        <v/>
      </c>
      <c r="L35" s="10">
        <f>(Profiles!$B$4*(Profiles!$B$9*F35+Profiles!$B$8*IF(H35="",F35,H35)+Profiles!$B$10*IF(I35="",F35,I35))+Profiles!$C$4*G35)/1000000+Profiles!$D$4*IF(J35="",0,J35)</f>
        <v/>
      </c>
      <c r="M35" s="10">
        <f>(Profiles!$B$5*(Profiles!$B$9*F35+Profiles!$B$8*IF(H35="",F35,H35)+Profiles!$B$10*IF(I35="",F35,I35))+Profiles!$C$5*G35)/1000000+Profiles!$D$5*IF(J35="",0,J35)</f>
        <v/>
      </c>
      <c r="N35" s="10">
        <f>K35+L35+M35</f>
        <v/>
      </c>
      <c r="O35" s="10">
        <f>3*N35</f>
        <v/>
      </c>
    </row>
    <row r="36">
      <c r="A36" t="n">
        <v>35</v>
      </c>
      <c r="B36" t="inlineStr">
        <is>
          <t>stepfun/step-3.7-flash</t>
        </is>
      </c>
      <c r="C36" t="inlineStr">
        <is>
          <t>2026-05-28</t>
        </is>
      </c>
      <c r="D36" t="inlineStr"/>
      <c r="E36" t="inlineStr"/>
      <c r="F36" s="9" t="n">
        <v>0.2</v>
      </c>
      <c r="G36" s="9" t="n">
        <v>1.15</v>
      </c>
      <c r="H36" s="9" t="n">
        <v>0.04</v>
      </c>
      <c r="I36" s="9" t="n"/>
      <c r="J36" s="9" t="n"/>
      <c r="K36" s="10">
        <f>(Profiles!$B$3*(Profiles!$B$9*F36+Profiles!$B$8*IF(H36="",F36,H36)+Profiles!$B$10*IF(I36="",F36,I36))+Profiles!$C$3*G36)/1000000+Profiles!$D$3*IF(J36="",0,J36)</f>
        <v/>
      </c>
      <c r="L36" s="10">
        <f>(Profiles!$B$4*(Profiles!$B$9*F36+Profiles!$B$8*IF(H36="",F36,H36)+Profiles!$B$10*IF(I36="",F36,I36))+Profiles!$C$4*G36)/1000000+Profiles!$D$4*IF(J36="",0,J36)</f>
        <v/>
      </c>
      <c r="M36" s="10">
        <f>(Profiles!$B$5*(Profiles!$B$9*F36+Profiles!$B$8*IF(H36="",F36,H36)+Profiles!$B$10*IF(I36="",F36,I36))+Profiles!$C$5*G36)/1000000+Profiles!$D$5*IF(J36="",0,J36)</f>
        <v/>
      </c>
      <c r="N36" s="10">
        <f>K36+L36+M36</f>
        <v/>
      </c>
      <c r="O36" s="10">
        <f>3*N36</f>
        <v/>
      </c>
    </row>
    <row r="37">
      <c r="A37" s="6" t="n">
        <v>36</v>
      </c>
      <c r="B37" s="6" t="inlineStr">
        <is>
          <t>xiaomi/mimo-v2.6-pro</t>
        </is>
      </c>
      <c r="C37" s="6" t="inlineStr">
        <is>
          <t>2026-09-21</t>
        </is>
      </c>
      <c r="D37" s="6" t="inlineStr"/>
      <c r="E37" s="6" t="inlineStr">
        <is>
          <t>yes</t>
        </is>
      </c>
      <c r="F37" s="7" t="n">
        <v>0.435</v>
      </c>
      <c r="G37" s="7" t="n">
        <v>0.87</v>
      </c>
      <c r="H37" s="7" t="n">
        <v>0.0036</v>
      </c>
      <c r="I37" s="7" t="n"/>
      <c r="J37" s="7" t="n"/>
      <c r="K37" s="8">
        <f>(Profiles!$B$3*(Profiles!$B$9*F37+Profiles!$B$8*IF(H37="",F37,H37)+Profiles!$B$10*IF(I37="",F37,I37))+Profiles!$C$3*G37)/1000000+Profiles!$D$3*IF(J37="",0,J37)</f>
        <v/>
      </c>
      <c r="L37" s="8">
        <f>(Profiles!$B$4*(Profiles!$B$9*F37+Profiles!$B$8*IF(H37="",F37,H37)+Profiles!$B$10*IF(I37="",F37,I37))+Profiles!$C$4*G37)/1000000+Profiles!$D$4*IF(J37="",0,J37)</f>
        <v/>
      </c>
      <c r="M37" s="8">
        <f>(Profiles!$B$5*(Profiles!$B$9*F37+Profiles!$B$8*IF(H37="",F37,H37)+Profiles!$B$10*IF(I37="",F37,I37))+Profiles!$C$5*G37)/1000000+Profiles!$D$5*IF(J37="",0,J37)</f>
        <v/>
      </c>
      <c r="N37" s="8">
        <f>K37+L37+M37</f>
        <v/>
      </c>
      <c r="O37" s="8">
        <f>3*N37</f>
        <v/>
      </c>
    </row>
    <row r="38">
      <c r="A38" t="n">
        <v>37</v>
      </c>
      <c r="B38" t="inlineStr">
        <is>
          <t>google/gemma-4-31b-it</t>
        </is>
      </c>
      <c r="C38" t="inlineStr">
        <is>
          <t>2026-04-02</t>
        </is>
      </c>
      <c r="D38" t="inlineStr"/>
      <c r="E38" t="inlineStr"/>
      <c r="F38" s="9" t="n">
        <v>0.09</v>
      </c>
      <c r="G38" s="9" t="n">
        <v>0.34</v>
      </c>
      <c r="H38" s="9" t="n">
        <v>0.05</v>
      </c>
      <c r="I38" s="9" t="n"/>
      <c r="J38" s="9" t="n"/>
      <c r="K38" s="10">
        <f>(Profiles!$B$3*(Profiles!$B$9*F38+Profiles!$B$8*IF(H38="",F38,H38)+Profiles!$B$10*IF(I38="",F38,I38))+Profiles!$C$3*G38)/1000000+Profiles!$D$3*IF(J38="",0,J38)</f>
        <v/>
      </c>
      <c r="L38" s="10">
        <f>(Profiles!$B$4*(Profiles!$B$9*F38+Profiles!$B$8*IF(H38="",F38,H38)+Profiles!$B$10*IF(I38="",F38,I38))+Profiles!$C$4*G38)/1000000+Profiles!$D$4*IF(J38="",0,J38)</f>
        <v/>
      </c>
      <c r="M38" s="10">
        <f>(Profiles!$B$5*(Profiles!$B$9*F38+Profiles!$B$8*IF(H38="",F38,H38)+Profiles!$B$10*IF(I38="",F38,I38))+Profiles!$C$5*G38)/1000000+Profiles!$D$5*IF(J38="",0,J38)</f>
        <v/>
      </c>
      <c r="N38" s="10">
        <f>K38+L38+M38</f>
        <v/>
      </c>
      <c r="O38" s="10">
        <f>3*N38</f>
        <v/>
      </c>
    </row>
    <row r="39">
      <c r="A39" t="n">
        <v>38</v>
      </c>
      <c r="B39" t="inlineStr">
        <is>
          <t>google/gemma-4-26b-a4b-it</t>
        </is>
      </c>
      <c r="C39" t="inlineStr">
        <is>
          <t>2026-04-03</t>
        </is>
      </c>
      <c r="D39" t="inlineStr"/>
      <c r="E39" t="inlineStr"/>
      <c r="F39" s="9" t="n">
        <v>0.09</v>
      </c>
      <c r="G39" s="9" t="n">
        <v>0.3</v>
      </c>
      <c r="H39" s="9" t="n">
        <v>0.05</v>
      </c>
      <c r="I39" s="9" t="n"/>
      <c r="J39" s="9" t="n"/>
      <c r="K39" s="10">
        <f>(Profiles!$B$3*(Profiles!$B$9*F39+Profiles!$B$8*IF(H39="",F39,H39)+Profiles!$B$10*IF(I39="",F39,I39))+Profiles!$C$3*G39)/1000000+Profiles!$D$3*IF(J39="",0,J39)</f>
        <v/>
      </c>
      <c r="L39" s="10">
        <f>(Profiles!$B$4*(Profiles!$B$9*F39+Profiles!$B$8*IF(H39="",F39,H39)+Profiles!$B$10*IF(I39="",F39,I39))+Profiles!$C$4*G39)/1000000+Profiles!$D$4*IF(J39="",0,J39)</f>
        <v/>
      </c>
      <c r="M39" s="10">
        <f>(Profiles!$B$5*(Profiles!$B$9*F39+Profiles!$B$8*IF(H39="",F39,H39)+Profiles!$B$10*IF(I39="",F39,I39))+Profiles!$C$5*G39)/1000000+Profiles!$D$5*IF(J39="",0,J39)</f>
        <v/>
      </c>
      <c r="N39" s="10">
        <f>K39+L39+M39</f>
        <v/>
      </c>
      <c r="O39" s="10">
        <f>3*N39</f>
        <v/>
      </c>
    </row>
    <row r="40">
      <c r="A40" s="6" t="n">
        <v>39</v>
      </c>
      <c r="B40" s="6" t="inlineStr">
        <is>
          <t>z-ai/glm-5.3-flash</t>
        </is>
      </c>
      <c r="C40" s="6" t="inlineStr">
        <is>
          <t>2026-08-26</t>
        </is>
      </c>
      <c r="D40" s="6" t="inlineStr"/>
      <c r="E40" s="6" t="inlineStr">
        <is>
          <t>yes</t>
        </is>
      </c>
      <c r="F40" s="7" t="n">
        <v>0.15</v>
      </c>
      <c r="G40" s="7" t="n">
        <v>0.5</v>
      </c>
      <c r="H40" s="7" t="n">
        <v>0.03</v>
      </c>
      <c r="I40" s="7" t="n"/>
      <c r="J40" s="7" t="n"/>
      <c r="K40" s="8">
        <f>(Profiles!$B$3*(Profiles!$B$9*F40+Profiles!$B$8*IF(H40="",F40,H40)+Profiles!$B$10*IF(I40="",F40,I40))+Profiles!$C$3*G40)/1000000+Profiles!$D$3*IF(J40="",0,J40)</f>
        <v/>
      </c>
      <c r="L40" s="8">
        <f>(Profiles!$B$4*(Profiles!$B$9*F40+Profiles!$B$8*IF(H40="",F40,H40)+Profiles!$B$10*IF(I40="",F40,I40))+Profiles!$C$4*G40)/1000000+Profiles!$D$4*IF(J40="",0,J40)</f>
        <v/>
      </c>
      <c r="M40" s="8">
        <f>(Profiles!$B$5*(Profiles!$B$9*F40+Profiles!$B$8*IF(H40="",F40,H40)+Profiles!$B$10*IF(I40="",F40,I40))+Profiles!$C$5*G40)/1000000+Profiles!$D$5*IF(J40="",0,J40)</f>
        <v/>
      </c>
      <c r="N40" s="8">
        <f>K40+L40+M40</f>
        <v/>
      </c>
      <c r="O40" s="8">
        <f>3*N40</f>
        <v/>
      </c>
    </row>
    <row r="41">
      <c r="A41" t="n">
        <v>40</v>
      </c>
      <c r="B41" t="inlineStr">
        <is>
          <t>qwen/qwen3.8-flash</t>
        </is>
      </c>
      <c r="C41" t="inlineStr">
        <is>
          <t>2026-08-26</t>
        </is>
      </c>
      <c r="D41" t="inlineStr"/>
      <c r="E41" t="inlineStr"/>
      <c r="F41" s="9" t="n">
        <v>0.15</v>
      </c>
      <c r="G41" s="9" t="n">
        <v>0.47</v>
      </c>
      <c r="H41" s="9" t="n">
        <v>0.016</v>
      </c>
      <c r="I41" s="9" t="n">
        <v>0.2</v>
      </c>
      <c r="J41" s="9" t="n"/>
      <c r="K41" s="10">
        <f>(Profiles!$B$3*(Profiles!$B$9*F41+Profiles!$B$8*IF(H41="",F41,H41)+Profiles!$B$10*IF(I41="",F41,I41))+Profiles!$C$3*G41)/1000000+Profiles!$D$3*IF(J41="",0,J41)</f>
        <v/>
      </c>
      <c r="L41" s="10">
        <f>(Profiles!$B$4*(Profiles!$B$9*F41+Profiles!$B$8*IF(H41="",F41,H41)+Profiles!$B$10*IF(I41="",F41,I41))+Profiles!$C$4*G41)/1000000+Profiles!$D$4*IF(J41="",0,J41)</f>
        <v/>
      </c>
      <c r="M41" s="10">
        <f>(Profiles!$B$5*(Profiles!$B$9*F41+Profiles!$B$8*IF(H41="",F41,H41)+Profiles!$B$10*IF(I41="",F41,I41))+Profiles!$C$5*G41)/1000000+Profiles!$D$5*IF(J41="",0,J41)</f>
        <v/>
      </c>
      <c r="N41" s="10">
        <f>K41+L41+M41</f>
        <v/>
      </c>
      <c r="O41" s="10">
        <f>3*N41</f>
        <v/>
      </c>
    </row>
    <row r="42">
      <c r="A42" t="n">
        <v>41</v>
      </c>
      <c r="B42" t="inlineStr">
        <is>
          <t>qwen/qwen3.8-omni-flash</t>
        </is>
      </c>
      <c r="C42" t="inlineStr">
        <is>
          <t>2026-09-21</t>
        </is>
      </c>
      <c r="D42" t="inlineStr"/>
      <c r="E42" t="inlineStr"/>
      <c r="F42" s="9" t="n">
        <v>0.15</v>
      </c>
      <c r="G42" s="9" t="n">
        <v>0.47</v>
      </c>
      <c r="H42" s="9" t="n">
        <v>0.016</v>
      </c>
      <c r="I42" s="9" t="n"/>
      <c r="J42" s="9" t="n"/>
      <c r="K42" s="10">
        <f>(Profiles!$B$3*(Profiles!$B$9*F42+Profiles!$B$8*IF(H42="",F42,H42)+Profiles!$B$10*IF(I42="",F42,I42))+Profiles!$C$3*G42)/1000000+Profiles!$D$3*IF(J42="",0,J42)</f>
        <v/>
      </c>
      <c r="L42" s="10">
        <f>(Profiles!$B$4*(Profiles!$B$9*F42+Profiles!$B$8*IF(H42="",F42,H42)+Profiles!$B$10*IF(I42="",F42,I42))+Profiles!$C$4*G42)/1000000+Profiles!$D$4*IF(J42="",0,J42)</f>
        <v/>
      </c>
      <c r="M42" s="10">
        <f>(Profiles!$B$5*(Profiles!$B$9*F42+Profiles!$B$8*IF(H42="",F42,H42)+Profiles!$B$10*IF(I42="",F42,I42))+Profiles!$C$5*G42)/1000000+Profiles!$D$5*IF(J42="",0,J42)</f>
        <v/>
      </c>
      <c r="N42" s="10">
        <f>K42+L42+M42</f>
        <v/>
      </c>
      <c r="O42" s="10">
        <f>3*N42</f>
        <v/>
      </c>
    </row>
    <row r="43">
      <c r="A43" s="6" t="n">
        <v>42</v>
      </c>
      <c r="B43" s="6" t="inlineStr">
        <is>
          <t>openai/gpt-6-luna</t>
        </is>
      </c>
      <c r="C43" s="6" t="inlineStr">
        <is>
          <t>2026-09-22</t>
        </is>
      </c>
      <c r="D43" s="6" t="inlineStr"/>
      <c r="E43" s="6" t="inlineStr">
        <is>
          <t>yes</t>
        </is>
      </c>
      <c r="F43" s="7" t="n">
        <v>0.09999999999999999</v>
      </c>
      <c r="G43" s="7" t="n">
        <v>0.5</v>
      </c>
      <c r="H43" s="7" t="n">
        <v>0.01</v>
      </c>
      <c r="I43" s="7" t="n">
        <v>0.125</v>
      </c>
      <c r="J43" s="7" t="n"/>
      <c r="K43" s="8">
        <f>(Profiles!$B$3*(Profiles!$B$9*F43+Profiles!$B$8*IF(H43="",F43,H43)+Profiles!$B$10*IF(I43="",F43,I43))+Profiles!$C$3*G43)/1000000+Profiles!$D$3*IF(J43="",0,J43)</f>
        <v/>
      </c>
      <c r="L43" s="8">
        <f>(Profiles!$B$4*(Profiles!$B$9*F43+Profiles!$B$8*IF(H43="",F43,H43)+Profiles!$B$10*IF(I43="",F43,I43))+Profiles!$C$4*G43)/1000000+Profiles!$D$4*IF(J43="",0,J43)</f>
        <v/>
      </c>
      <c r="M43" s="8">
        <f>(Profiles!$B$5*(Profiles!$B$9*F43+Profiles!$B$8*IF(H43="",F43,H43)+Profiles!$B$10*IF(I43="",F43,I43))+Profiles!$C$5*G43)/1000000+Profiles!$D$5*IF(J43="",0,J43)</f>
        <v/>
      </c>
      <c r="N43" s="8">
        <f>K43+L43+M43</f>
        <v/>
      </c>
      <c r="O43" s="8">
        <f>3*N43</f>
        <v/>
      </c>
    </row>
    <row r="44">
      <c r="A44" t="n">
        <v>43</v>
      </c>
      <c r="B44" t="inlineStr">
        <is>
          <t>xiaomi/mimo-v2.6-flash</t>
        </is>
      </c>
      <c r="C44" t="inlineStr">
        <is>
          <t>2026-09-21</t>
        </is>
      </c>
      <c r="D44" t="inlineStr"/>
      <c r="E44" t="inlineStr"/>
      <c r="F44" s="9" t="n">
        <v>0.14</v>
      </c>
      <c r="G44" s="9" t="n">
        <v>0.28</v>
      </c>
      <c r="H44" s="9" t="n">
        <v>0.0028</v>
      </c>
      <c r="I44" s="9" t="n"/>
      <c r="J44" s="9" t="n"/>
      <c r="K44" s="10">
        <f>(Profiles!$B$3*(Profiles!$B$9*F44+Profiles!$B$8*IF(H44="",F44,H44)+Profiles!$B$10*IF(I44="",F44,I44))+Profiles!$C$3*G44)/1000000+Profiles!$D$3*IF(J44="",0,J44)</f>
        <v/>
      </c>
      <c r="L44" s="10">
        <f>(Profiles!$B$4*(Profiles!$B$9*F44+Profiles!$B$8*IF(H44="",F44,H44)+Profiles!$B$10*IF(I44="",F44,I44))+Profiles!$C$4*G44)/1000000+Profiles!$D$4*IF(J44="",0,J44)</f>
        <v/>
      </c>
      <c r="M44" s="10">
        <f>(Profiles!$B$5*(Profiles!$B$9*F44+Profiles!$B$8*IF(H44="",F44,H44)+Profiles!$B$10*IF(I44="",F44,I44))+Profiles!$C$5*G44)/1000000+Profiles!$D$5*IF(J44="",0,J44)</f>
        <v/>
      </c>
      <c r="N44" s="10">
        <f>K44+L44+M44</f>
        <v/>
      </c>
      <c r="O44" s="10">
        <f>3*N44</f>
        <v/>
      </c>
    </row>
    <row r="45">
      <c r="A45" t="n">
        <v>44</v>
      </c>
      <c r="B45" t="inlineStr">
        <is>
          <t>meta/muse-spark-1.3-contributor</t>
        </is>
      </c>
      <c r="C45" t="inlineStr">
        <is>
          <t>2026-09-02</t>
        </is>
      </c>
      <c r="D45" t="inlineStr">
        <is>
          <t>cheap contributor tier (check its data terms)</t>
        </is>
      </c>
      <c r="E45" t="inlineStr"/>
      <c r="F45" s="9" t="n">
        <v>0.09999999999999999</v>
      </c>
      <c r="G45" s="9" t="n">
        <v>0.2</v>
      </c>
      <c r="H45" s="9" t="n">
        <v>0.002</v>
      </c>
      <c r="I45" s="9" t="n"/>
      <c r="J45" s="9" t="n"/>
      <c r="K45" s="10">
        <f>(Profiles!$B$3*(Profiles!$B$9*F45+Profiles!$B$8*IF(H45="",F45,H45)+Profiles!$B$10*IF(I45="",F45,I45))+Profiles!$C$3*G45)/1000000+Profiles!$D$3*IF(J45="",0,J45)</f>
        <v/>
      </c>
      <c r="L45" s="10">
        <f>(Profiles!$B$4*(Profiles!$B$9*F45+Profiles!$B$8*IF(H45="",F45,H45)+Profiles!$B$10*IF(I45="",F45,I45))+Profiles!$C$4*G45)/1000000+Profiles!$D$4*IF(J45="",0,J45)</f>
        <v/>
      </c>
      <c r="M45" s="10">
        <f>(Profiles!$B$5*(Profiles!$B$9*F45+Profiles!$B$8*IF(H45="",F45,H45)+Profiles!$B$10*IF(I45="",F45,I45))+Profiles!$C$5*G45)/1000000+Profiles!$D$5*IF(J45="",0,J45)</f>
        <v/>
      </c>
      <c r="N45" s="10">
        <f>K45+L45+M45</f>
        <v/>
      </c>
      <c r="O45" s="10">
        <f>3*N45</f>
        <v/>
      </c>
    </row>
    <row r="46">
      <c r="A46" s="6" t="n">
        <v>45</v>
      </c>
      <c r="B46" s="6" t="inlineStr">
        <is>
          <t>deepseek/deepseek-v4.1-flash</t>
        </is>
      </c>
      <c r="C46" s="6" t="inlineStr">
        <is>
          <t>2026-09-10</t>
        </is>
      </c>
      <c r="D46" s="6" t="inlineStr"/>
      <c r="E46" s="6" t="inlineStr">
        <is>
          <t>yes</t>
        </is>
      </c>
      <c r="F46" s="7" t="n">
        <v>0.035</v>
      </c>
      <c r="G46" s="7" t="n">
        <v>0.29</v>
      </c>
      <c r="H46" s="7" t="n">
        <v>0.001</v>
      </c>
      <c r="I46" s="7" t="n"/>
      <c r="J46" s="7" t="n"/>
      <c r="K46" s="8">
        <f>(Profiles!$B$3*(Profiles!$B$9*F46+Profiles!$B$8*IF(H46="",F46,H46)+Profiles!$B$10*IF(I46="",F46,I46))+Profiles!$C$3*G46)/1000000+Profiles!$D$3*IF(J46="",0,J46)</f>
        <v/>
      </c>
      <c r="L46" s="8">
        <f>(Profiles!$B$4*(Profiles!$B$9*F46+Profiles!$B$8*IF(H46="",F46,H46)+Profiles!$B$10*IF(I46="",F46,I46))+Profiles!$C$4*G46)/1000000+Profiles!$D$4*IF(J46="",0,J46)</f>
        <v/>
      </c>
      <c r="M46" s="8">
        <f>(Profiles!$B$5*(Profiles!$B$9*F46+Profiles!$B$8*IF(H46="",F46,H46)+Profiles!$B$10*IF(I46="",F46,I46))+Profiles!$C$5*G46)/1000000+Profiles!$D$5*IF(J46="",0,J46)</f>
        <v/>
      </c>
      <c r="N46" s="8">
        <f>K46+L46+M46</f>
        <v/>
      </c>
      <c r="O46" s="8">
        <f>3*N46</f>
        <v/>
      </c>
    </row>
    <row r="47">
      <c r="A47" t="n">
        <v>46</v>
      </c>
      <c r="B47" t="inlineStr">
        <is>
          <t>inclusionai/ling-3.0-flash-vl</t>
        </is>
      </c>
      <c r="C47" t="inlineStr">
        <is>
          <t>2026-09-10</t>
        </is>
      </c>
      <c r="D47" t="inlineStr"/>
      <c r="E47" t="inlineStr"/>
      <c r="F47" s="9" t="n">
        <v>0.021</v>
      </c>
      <c r="G47" s="9" t="n">
        <v>0.0616</v>
      </c>
      <c r="H47" s="9" t="n">
        <v>0.004200000000000001</v>
      </c>
      <c r="I47" s="9" t="n"/>
      <c r="J47" s="9" t="n"/>
      <c r="K47" s="10">
        <f>(Profiles!$B$3*(Profiles!$B$9*F47+Profiles!$B$8*IF(H47="",F47,H47)+Profiles!$B$10*IF(I47="",F47,I47))+Profiles!$C$3*G47)/1000000+Profiles!$D$3*IF(J47="",0,J47)</f>
        <v/>
      </c>
      <c r="L47" s="10">
        <f>(Profiles!$B$4*(Profiles!$B$9*F47+Profiles!$B$8*IF(H47="",F47,H47)+Profiles!$B$10*IF(I47="",F47,I47))+Profiles!$C$4*G47)/1000000+Profiles!$D$4*IF(J47="",0,J47)</f>
        <v/>
      </c>
      <c r="M47" s="10">
        <f>(Profiles!$B$5*(Profiles!$B$9*F47+Profiles!$B$8*IF(H47="",F47,H47)+Profiles!$B$10*IF(I47="",F47,I47))+Profiles!$C$5*G47)/1000000+Profiles!$D$5*IF(J47="",0,J47)</f>
        <v/>
      </c>
      <c r="N47" s="10">
        <f>K47+L47+M47</f>
        <v/>
      </c>
      <c r="O47" s="10">
        <f>3*N47</f>
        <v/>
      </c>
    </row>
    <row r="48">
      <c r="A48" s="6" t="n">
        <v>47</v>
      </c>
      <c r="B48" s="6" t="inlineStr">
        <is>
          <t>stealth/space-bunny-alpha</t>
        </is>
      </c>
      <c r="C48" s="6" t="inlineStr">
        <is>
          <t>2026-09-23</t>
        </is>
      </c>
      <c r="D48" s="6" t="inlineStr">
        <is>
          <t>free (stealth)</t>
        </is>
      </c>
      <c r="E48" s="6" t="inlineStr">
        <is>
          <t>yes</t>
        </is>
      </c>
      <c r="F48" s="7" t="n">
        <v>0</v>
      </c>
      <c r="G48" s="7" t="n">
        <v>0</v>
      </c>
      <c r="H48" s="7" t="n"/>
      <c r="I48" s="7" t="n"/>
      <c r="J48" s="7" t="n"/>
      <c r="K48" s="8">
        <f>(Profiles!$B$3*(Profiles!$B$9*F48+Profiles!$B$8*IF(H48="",F48,H48)+Profiles!$B$10*IF(I48="",F48,I48))+Profiles!$C$3*G48)/1000000+Profiles!$D$3*IF(J48="",0,J48)</f>
        <v/>
      </c>
      <c r="L48" s="8">
        <f>(Profiles!$B$4*(Profiles!$B$9*F48+Profiles!$B$8*IF(H48="",F48,H48)+Profiles!$B$10*IF(I48="",F48,I48))+Profiles!$C$4*G48)/1000000+Profiles!$D$4*IF(J48="",0,J48)</f>
        <v/>
      </c>
      <c r="M48" s="8">
        <f>(Profiles!$B$5*(Profiles!$B$9*F48+Profiles!$B$8*IF(H48="",F48,H48)+Profiles!$B$10*IF(I48="",F48,I48))+Profiles!$C$5*G48)/1000000+Profiles!$D$5*IF(J48="",0,J48)</f>
        <v/>
      </c>
      <c r="N48" s="8">
        <f>K48+L48+M48</f>
        <v/>
      </c>
      <c r="O48" s="8">
        <f>3*N48</f>
        <v/>
      </c>
    </row>
    <row r="50">
      <c r="B50" s="4" t="inlineStr">
        <is>
          <t>total</t>
        </is>
      </c>
      <c r="K50" s="11">
        <f>SUM(K2:K48)</f>
        <v/>
      </c>
      <c r="L50" s="11">
        <f>SUM(L2:L48)</f>
        <v/>
      </c>
      <c r="M50" s="11">
        <f>SUM(M2:M48)</f>
        <v/>
      </c>
      <c r="N50" s="11">
        <f>SUM(N2:N48)</f>
        <v/>
      </c>
      <c r="O50" s="11">
        <f>SUM(O2:O48)</f>
        <v/>
      </c>
    </row>
  </sheetData>
  <autoFilter ref="A1:O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4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</cols>
  <sheetData>
    <row r="1">
      <c r="A1" s="5" t="inlineStr">
        <is>
          <t>#</t>
        </is>
      </c>
      <c r="B1" s="5" t="inlineStr">
        <is>
          <t>model</t>
        </is>
      </c>
      <c r="C1" s="5" t="inlineStr">
        <is>
          <t>released</t>
        </is>
      </c>
      <c r="D1" s="5" t="inlineStr">
        <is>
          <t>note</t>
        </is>
      </c>
      <c r="E1" s="5" t="inlineStr">
        <is>
          <t>painted with it</t>
        </is>
      </c>
      <c r="F1" s="5" t="inlineStr">
        <is>
          <t>$/M input</t>
        </is>
      </c>
      <c r="G1" s="5" t="inlineStr">
        <is>
          <t>$/M output</t>
        </is>
      </c>
      <c r="H1" s="5" t="inlineStr">
        <is>
          <t>$/M cache read</t>
        </is>
      </c>
      <c r="I1" s="5" t="inlineStr">
        <is>
          <t>$/M cache write</t>
        </is>
      </c>
      <c r="J1" s="5" t="inlineStr">
        <is>
          <t>$/image</t>
        </is>
      </c>
      <c r="K1" s="5" t="inlineStr">
        <is>
          <t>light $</t>
        </is>
      </c>
      <c r="L1" s="5" t="inlineStr">
        <is>
          <t>typical $</t>
        </is>
      </c>
      <c r="M1" s="5" t="inlineStr">
        <is>
          <t>heavy $</t>
        </is>
      </c>
      <c r="N1" s="5" t="inlineStr">
        <is>
          <t>one pass $</t>
        </is>
      </c>
      <c r="O1" s="5" t="inlineStr">
        <is>
          <t>three passes $</t>
        </is>
      </c>
    </row>
    <row r="2">
      <c r="A2" t="n">
        <v>1</v>
      </c>
      <c r="B2" t="inlineStr">
        <is>
          <t>perceptron/perceptron-mk1.5</t>
        </is>
      </c>
      <c r="C2" t="inlineStr">
        <is>
          <t>2026-09-25</t>
        </is>
      </c>
      <c r="D2" t="inlineStr"/>
      <c r="E2" t="inlineStr"/>
      <c r="F2" s="9" t="n">
        <v>0.15</v>
      </c>
      <c r="G2" s="9" t="n">
        <v>1.5</v>
      </c>
      <c r="H2" s="9" t="n"/>
      <c r="I2" s="9" t="n"/>
      <c r="J2" s="9" t="n"/>
      <c r="K2" s="10">
        <f>(Profiles!$B$3*(Profiles!$B$9*F2+Profiles!$B$8*IF(H2="",F2,H2)+Profiles!$B$10*IF(I2="",F2,I2))+Profiles!$C$3*G2)/1000000+Profiles!$D$3*IF(J2="",0,J2)</f>
        <v/>
      </c>
      <c r="L2" s="10">
        <f>(Profiles!$B$4*(Profiles!$B$9*F2+Profiles!$B$8*IF(H2="",F2,H2)+Profiles!$B$10*IF(I2="",F2,I2))+Profiles!$C$4*G2)/1000000+Profiles!$D$4*IF(J2="",0,J2)</f>
        <v/>
      </c>
      <c r="M2" s="10">
        <f>(Profiles!$B$5*(Profiles!$B$9*F2+Profiles!$B$8*IF(H2="",F2,H2)+Profiles!$B$10*IF(I2="",F2,I2))+Profiles!$C$5*G2)/1000000+Profiles!$D$5*IF(J2="",0,J2)</f>
        <v/>
      </c>
      <c r="N2" s="10">
        <f>K2+L2+M2</f>
        <v/>
      </c>
      <c r="O2" s="10">
        <f>3*N2</f>
        <v/>
      </c>
    </row>
    <row r="3">
      <c r="A3" t="n">
        <v>2</v>
      </c>
      <c r="B3" t="inlineStr">
        <is>
          <t>fireworks/ember-1</t>
        </is>
      </c>
      <c r="C3" t="inlineStr">
        <is>
          <t>2026-09-24</t>
        </is>
      </c>
      <c r="D3" t="inlineStr">
        <is>
          <t>Kimi K3 fine-tune with shorter reasoning (likely cheaper than shown)</t>
        </is>
      </c>
      <c r="E3" t="inlineStr"/>
      <c r="F3" s="9" t="n">
        <v>3</v>
      </c>
      <c r="G3" s="9" t="n">
        <v>15</v>
      </c>
      <c r="H3" s="9" t="n">
        <v>0.3</v>
      </c>
      <c r="I3" s="9" t="n"/>
      <c r="J3" s="9" t="n"/>
      <c r="K3" s="10">
        <f>(Profiles!$B$3*(Profiles!$B$9*F3+Profiles!$B$8*IF(H3="",F3,H3)+Profiles!$B$10*IF(I3="",F3,I3))+Profiles!$C$3*G3)/1000000+Profiles!$D$3*IF(J3="",0,J3)</f>
        <v/>
      </c>
      <c r="L3" s="10">
        <f>(Profiles!$B$4*(Profiles!$B$9*F3+Profiles!$B$8*IF(H3="",F3,H3)+Profiles!$B$10*IF(I3="",F3,I3))+Profiles!$C$4*G3)/1000000+Profiles!$D$4*IF(J3="",0,J3)</f>
        <v/>
      </c>
      <c r="M3" s="10">
        <f>(Profiles!$B$5*(Profiles!$B$9*F3+Profiles!$B$8*IF(H3="",F3,H3)+Profiles!$B$10*IF(I3="",F3,I3))+Profiles!$C$5*G3)/1000000+Profiles!$D$5*IF(J3="",0,J3)</f>
        <v/>
      </c>
      <c r="N3" s="10">
        <f>K3+L3+M3</f>
        <v/>
      </c>
      <c r="O3" s="10">
        <f>3*N3</f>
        <v/>
      </c>
    </row>
    <row r="4">
      <c r="A4" t="n">
        <v>3</v>
      </c>
      <c r="B4" t="inlineStr">
        <is>
          <t>qwen/qwen3.8-max-prime</t>
        </is>
      </c>
      <c r="C4" t="inlineStr">
        <is>
          <t>2026-09-23</t>
        </is>
      </c>
      <c r="D4" t="inlineStr"/>
      <c r="E4" t="inlineStr"/>
      <c r="F4" s="9" t="n">
        <v>4</v>
      </c>
      <c r="G4" s="9" t="n">
        <v>12</v>
      </c>
      <c r="H4" s="9" t="n">
        <v>0.5</v>
      </c>
      <c r="I4" s="9" t="n"/>
      <c r="J4" s="9" t="n"/>
      <c r="K4" s="10">
        <f>(Profiles!$B$3*(Profiles!$B$9*F4+Profiles!$B$8*IF(H4="",F4,H4)+Profiles!$B$10*IF(I4="",F4,I4))+Profiles!$C$3*G4)/1000000+Profiles!$D$3*IF(J4="",0,J4)</f>
        <v/>
      </c>
      <c r="L4" s="10">
        <f>(Profiles!$B$4*(Profiles!$B$9*F4+Profiles!$B$8*IF(H4="",F4,H4)+Profiles!$B$10*IF(I4="",F4,I4))+Profiles!$C$4*G4)/1000000+Profiles!$D$4*IF(J4="",0,J4)</f>
        <v/>
      </c>
      <c r="M4" s="10">
        <f>(Profiles!$B$5*(Profiles!$B$9*F4+Profiles!$B$8*IF(H4="",F4,H4)+Profiles!$B$10*IF(I4="",F4,I4))+Profiles!$C$5*G4)/1000000+Profiles!$D$5*IF(J4="",0,J4)</f>
        <v/>
      </c>
      <c r="N4" s="10">
        <f>K4+L4+M4</f>
        <v/>
      </c>
      <c r="O4" s="10">
        <f>3*N4</f>
        <v/>
      </c>
    </row>
    <row r="5">
      <c r="A5" s="6" t="n">
        <v>4</v>
      </c>
      <c r="B5" s="6" t="inlineStr">
        <is>
          <t>stealth/space-bunny-alpha</t>
        </is>
      </c>
      <c r="C5" s="6" t="inlineStr">
        <is>
          <t>2026-09-23</t>
        </is>
      </c>
      <c r="D5" s="6" t="inlineStr">
        <is>
          <t>free (stealth)</t>
        </is>
      </c>
      <c r="E5" s="6" t="inlineStr">
        <is>
          <t>yes</t>
        </is>
      </c>
      <c r="F5" s="7" t="n">
        <v>0</v>
      </c>
      <c r="G5" s="7" t="n">
        <v>0</v>
      </c>
      <c r="H5" s="7" t="n"/>
      <c r="I5" s="7" t="n"/>
      <c r="J5" s="7" t="n"/>
      <c r="K5" s="8">
        <f>(Profiles!$B$3*(Profiles!$B$9*F5+Profiles!$B$8*IF(H5="",F5,H5)+Profiles!$B$10*IF(I5="",F5,I5))+Profiles!$C$3*G5)/1000000+Profiles!$D$3*IF(J5="",0,J5)</f>
        <v/>
      </c>
      <c r="L5" s="8">
        <f>(Profiles!$B$4*(Profiles!$B$9*F5+Profiles!$B$8*IF(H5="",F5,H5)+Profiles!$B$10*IF(I5="",F5,I5))+Profiles!$C$4*G5)/1000000+Profiles!$D$4*IF(J5="",0,J5)</f>
        <v/>
      </c>
      <c r="M5" s="8">
        <f>(Profiles!$B$5*(Profiles!$B$9*F5+Profiles!$B$8*IF(H5="",F5,H5)+Profiles!$B$10*IF(I5="",F5,I5))+Profiles!$C$5*G5)/1000000+Profiles!$D$5*IF(J5="",0,J5)</f>
        <v/>
      </c>
      <c r="N5" s="8">
        <f>K5+L5+M5</f>
        <v/>
      </c>
      <c r="O5" s="8">
        <f>3*N5</f>
        <v/>
      </c>
    </row>
    <row r="6">
      <c r="A6" t="n">
        <v>5</v>
      </c>
      <c r="B6" t="inlineStr">
        <is>
          <t>cohere/command-a-plus</t>
        </is>
      </c>
      <c r="C6" t="inlineStr">
        <is>
          <t>2026-09-22</t>
        </is>
      </c>
      <c r="D6" t="inlineStr"/>
      <c r="E6" t="inlineStr"/>
      <c r="F6" s="9" t="n">
        <v>0.3</v>
      </c>
      <c r="G6" s="9" t="n">
        <v>1.5</v>
      </c>
      <c r="H6" s="9" t="n">
        <v>0.15</v>
      </c>
      <c r="I6" s="9" t="n"/>
      <c r="J6" s="9" t="n"/>
      <c r="K6" s="10">
        <f>(Profiles!$B$3*(Profiles!$B$9*F6+Profiles!$B$8*IF(H6="",F6,H6)+Profiles!$B$10*IF(I6="",F6,I6))+Profiles!$C$3*G6)/1000000+Profiles!$D$3*IF(J6="",0,J6)</f>
        <v/>
      </c>
      <c r="L6" s="10">
        <f>(Profiles!$B$4*(Profiles!$B$9*F6+Profiles!$B$8*IF(H6="",F6,H6)+Profiles!$B$10*IF(I6="",F6,I6))+Profiles!$C$4*G6)/1000000+Profiles!$D$4*IF(J6="",0,J6)</f>
        <v/>
      </c>
      <c r="M6" s="10">
        <f>(Profiles!$B$5*(Profiles!$B$9*F6+Profiles!$B$8*IF(H6="",F6,H6)+Profiles!$B$10*IF(I6="",F6,I6))+Profiles!$C$5*G6)/1000000+Profiles!$D$5*IF(J6="",0,J6)</f>
        <v/>
      </c>
      <c r="N6" s="10">
        <f>K6+L6+M6</f>
        <v/>
      </c>
      <c r="O6" s="10">
        <f>3*N6</f>
        <v/>
      </c>
    </row>
    <row r="7">
      <c r="A7" s="6" t="n">
        <v>6</v>
      </c>
      <c r="B7" s="6" t="inlineStr">
        <is>
          <t>openai/gpt-6-luna</t>
        </is>
      </c>
      <c r="C7" s="6" t="inlineStr">
        <is>
          <t>2026-09-22</t>
        </is>
      </c>
      <c r="D7" s="6" t="inlineStr"/>
      <c r="E7" s="6" t="inlineStr">
        <is>
          <t>yes</t>
        </is>
      </c>
      <c r="F7" s="7" t="n">
        <v>0.09999999999999999</v>
      </c>
      <c r="G7" s="7" t="n">
        <v>0.5</v>
      </c>
      <c r="H7" s="7" t="n">
        <v>0.01</v>
      </c>
      <c r="I7" s="7" t="n">
        <v>0.125</v>
      </c>
      <c r="J7" s="7" t="n"/>
      <c r="K7" s="8">
        <f>(Profiles!$B$3*(Profiles!$B$9*F7+Profiles!$B$8*IF(H7="",F7,H7)+Profiles!$B$10*IF(I7="",F7,I7))+Profiles!$C$3*G7)/1000000+Profiles!$D$3*IF(J7="",0,J7)</f>
        <v/>
      </c>
      <c r="L7" s="8">
        <f>(Profiles!$B$4*(Profiles!$B$9*F7+Profiles!$B$8*IF(H7="",F7,H7)+Profiles!$B$10*IF(I7="",F7,I7))+Profiles!$C$4*G7)/1000000+Profiles!$D$4*IF(J7="",0,J7)</f>
        <v/>
      </c>
      <c r="M7" s="8">
        <f>(Profiles!$B$5*(Profiles!$B$9*F7+Profiles!$B$8*IF(H7="",F7,H7)+Profiles!$B$10*IF(I7="",F7,I7))+Profiles!$C$5*G7)/1000000+Profiles!$D$5*IF(J7="",0,J7)</f>
        <v/>
      </c>
      <c r="N7" s="8">
        <f>K7+L7+M7</f>
        <v/>
      </c>
      <c r="O7" s="8">
        <f>3*N7</f>
        <v/>
      </c>
    </row>
    <row r="8">
      <c r="A8" t="n">
        <v>7</v>
      </c>
      <c r="B8" t="inlineStr">
        <is>
          <t>openai/gpt-6-sol</t>
        </is>
      </c>
      <c r="C8" t="inlineStr">
        <is>
          <t>2026-09-22</t>
        </is>
      </c>
      <c r="D8" t="inlineStr"/>
      <c r="E8" t="inlineStr"/>
      <c r="F8" s="9" t="n">
        <v>2</v>
      </c>
      <c r="G8" s="9" t="n">
        <v>10</v>
      </c>
      <c r="H8" s="9" t="n">
        <v>0.2</v>
      </c>
      <c r="I8" s="9" t="n">
        <v>2.5</v>
      </c>
      <c r="J8" s="9" t="n"/>
      <c r="K8" s="10">
        <f>(Profiles!$B$3*(Profiles!$B$9*F8+Profiles!$B$8*IF(H8="",F8,H8)+Profiles!$B$10*IF(I8="",F8,I8))+Profiles!$C$3*G8)/1000000+Profiles!$D$3*IF(J8="",0,J8)</f>
        <v/>
      </c>
      <c r="L8" s="10">
        <f>(Profiles!$B$4*(Profiles!$B$9*F8+Profiles!$B$8*IF(H8="",F8,H8)+Profiles!$B$10*IF(I8="",F8,I8))+Profiles!$C$4*G8)/1000000+Profiles!$D$4*IF(J8="",0,J8)</f>
        <v/>
      </c>
      <c r="M8" s="10">
        <f>(Profiles!$B$5*(Profiles!$B$9*F8+Profiles!$B$8*IF(H8="",F8,H8)+Profiles!$B$10*IF(I8="",F8,I8))+Profiles!$C$5*G8)/1000000+Profiles!$D$5*IF(J8="",0,J8)</f>
        <v/>
      </c>
      <c r="N8" s="10">
        <f>K8+L8+M8</f>
        <v/>
      </c>
      <c r="O8" s="10">
        <f>3*N8</f>
        <v/>
      </c>
    </row>
    <row r="9">
      <c r="A9" s="6" t="n">
        <v>8</v>
      </c>
      <c r="B9" s="6" t="inlineStr">
        <is>
          <t>anthropic/claude-opus-5.5</t>
        </is>
      </c>
      <c r="C9" s="6" t="inlineStr">
        <is>
          <t>2026-09-22</t>
        </is>
      </c>
      <c r="D9" s="6" t="inlineStr"/>
      <c r="E9" s="6" t="inlineStr">
        <is>
          <t>yes</t>
        </is>
      </c>
      <c r="F9" s="7" t="n">
        <v>4</v>
      </c>
      <c r="G9" s="7" t="n">
        <v>20</v>
      </c>
      <c r="H9" s="7" t="n">
        <v>0.2</v>
      </c>
      <c r="I9" s="7" t="n">
        <v>5</v>
      </c>
      <c r="J9" s="7" t="n"/>
      <c r="K9" s="8">
        <f>(Profiles!$B$3*(Profiles!$B$9*F9+Profiles!$B$8*IF(H9="",F9,H9)+Profiles!$B$10*IF(I9="",F9,I9))+Profiles!$C$3*G9)/1000000+Profiles!$D$3*IF(J9="",0,J9)</f>
        <v/>
      </c>
      <c r="L9" s="8">
        <f>(Profiles!$B$4*(Profiles!$B$9*F9+Profiles!$B$8*IF(H9="",F9,H9)+Profiles!$B$10*IF(I9="",F9,I9))+Profiles!$C$4*G9)/1000000+Profiles!$D$4*IF(J9="",0,J9)</f>
        <v/>
      </c>
      <c r="M9" s="8">
        <f>(Profiles!$B$5*(Profiles!$B$9*F9+Profiles!$B$8*IF(H9="",F9,H9)+Profiles!$B$10*IF(I9="",F9,I9))+Profiles!$C$5*G9)/1000000+Profiles!$D$5*IF(J9="",0,J9)</f>
        <v/>
      </c>
      <c r="N9" s="8">
        <f>K9+L9+M9</f>
        <v/>
      </c>
      <c r="O9" s="8">
        <f>3*N9</f>
        <v/>
      </c>
    </row>
    <row r="10">
      <c r="A10" t="n">
        <v>9</v>
      </c>
      <c r="B10" t="inlineStr">
        <is>
          <t>xiaomi/mimo-v2.6-pro-ultraspeed</t>
        </is>
      </c>
      <c r="C10" t="inlineStr">
        <is>
          <t>2026-09-21</t>
        </is>
      </c>
      <c r="D10" t="inlineStr"/>
      <c r="E10" t="inlineStr"/>
      <c r="F10" s="9" t="n">
        <v>4.35</v>
      </c>
      <c r="G10" s="9" t="n">
        <v>8.699999999999999</v>
      </c>
      <c r="H10" s="9" t="n">
        <v>0.036</v>
      </c>
      <c r="I10" s="9" t="n"/>
      <c r="J10" s="9" t="n"/>
      <c r="K10" s="10">
        <f>(Profiles!$B$3*(Profiles!$B$9*F10+Profiles!$B$8*IF(H10="",F10,H10)+Profiles!$B$10*IF(I10="",F10,I10))+Profiles!$C$3*G10)/1000000+Profiles!$D$3*IF(J10="",0,J10)</f>
        <v/>
      </c>
      <c r="L10" s="10">
        <f>(Profiles!$B$4*(Profiles!$B$9*F10+Profiles!$B$8*IF(H10="",F10,H10)+Profiles!$B$10*IF(I10="",F10,I10))+Profiles!$C$4*G10)/1000000+Profiles!$D$4*IF(J10="",0,J10)</f>
        <v/>
      </c>
      <c r="M10" s="10">
        <f>(Profiles!$B$5*(Profiles!$B$9*F10+Profiles!$B$8*IF(H10="",F10,H10)+Profiles!$B$10*IF(I10="",F10,I10))+Profiles!$C$5*G10)/1000000+Profiles!$D$5*IF(J10="",0,J10)</f>
        <v/>
      </c>
      <c r="N10" s="10">
        <f>K10+L10+M10</f>
        <v/>
      </c>
      <c r="O10" s="10">
        <f>3*N10</f>
        <v/>
      </c>
    </row>
    <row r="11">
      <c r="A11" t="n">
        <v>10</v>
      </c>
      <c r="B11" t="inlineStr">
        <is>
          <t>xiaomi/mimo-v2.6-flash</t>
        </is>
      </c>
      <c r="C11" t="inlineStr">
        <is>
          <t>2026-09-21</t>
        </is>
      </c>
      <c r="D11" t="inlineStr"/>
      <c r="E11" t="inlineStr"/>
      <c r="F11" s="9" t="n">
        <v>0.14</v>
      </c>
      <c r="G11" s="9" t="n">
        <v>0.28</v>
      </c>
      <c r="H11" s="9" t="n">
        <v>0.0028</v>
      </c>
      <c r="I11" s="9" t="n"/>
      <c r="J11" s="9" t="n"/>
      <c r="K11" s="10">
        <f>(Profiles!$B$3*(Profiles!$B$9*F11+Profiles!$B$8*IF(H11="",F11,H11)+Profiles!$B$10*IF(I11="",F11,I11))+Profiles!$C$3*G11)/1000000+Profiles!$D$3*IF(J11="",0,J11)</f>
        <v/>
      </c>
      <c r="L11" s="10">
        <f>(Profiles!$B$4*(Profiles!$B$9*F11+Profiles!$B$8*IF(H11="",F11,H11)+Profiles!$B$10*IF(I11="",F11,I11))+Profiles!$C$4*G11)/1000000+Profiles!$D$4*IF(J11="",0,J11)</f>
        <v/>
      </c>
      <c r="M11" s="10">
        <f>(Profiles!$B$5*(Profiles!$B$9*F11+Profiles!$B$8*IF(H11="",F11,H11)+Profiles!$B$10*IF(I11="",F11,I11))+Profiles!$C$5*G11)/1000000+Profiles!$D$5*IF(J11="",0,J11)</f>
        <v/>
      </c>
      <c r="N11" s="10">
        <f>K11+L11+M11</f>
        <v/>
      </c>
      <c r="O11" s="10">
        <f>3*N11</f>
        <v/>
      </c>
    </row>
    <row r="12">
      <c r="A12" s="6" t="n">
        <v>11</v>
      </c>
      <c r="B12" s="6" t="inlineStr">
        <is>
          <t>xiaomi/mimo-v2.6-pro</t>
        </is>
      </c>
      <c r="C12" s="6" t="inlineStr">
        <is>
          <t>2026-09-21</t>
        </is>
      </c>
      <c r="D12" s="6" t="inlineStr"/>
      <c r="E12" s="6" t="inlineStr">
        <is>
          <t>yes</t>
        </is>
      </c>
      <c r="F12" s="7" t="n">
        <v>0.435</v>
      </c>
      <c r="G12" s="7" t="n">
        <v>0.87</v>
      </c>
      <c r="H12" s="7" t="n">
        <v>0.0036</v>
      </c>
      <c r="I12" s="7" t="n"/>
      <c r="J12" s="7" t="n"/>
      <c r="K12" s="8">
        <f>(Profiles!$B$3*(Profiles!$B$9*F12+Profiles!$B$8*IF(H12="",F12,H12)+Profiles!$B$10*IF(I12="",F12,I12))+Profiles!$C$3*G12)/1000000+Profiles!$D$3*IF(J12="",0,J12)</f>
        <v/>
      </c>
      <c r="L12" s="8">
        <f>(Profiles!$B$4*(Profiles!$B$9*F12+Profiles!$B$8*IF(H12="",F12,H12)+Profiles!$B$10*IF(I12="",F12,I12))+Profiles!$C$4*G12)/1000000+Profiles!$D$4*IF(J12="",0,J12)</f>
        <v/>
      </c>
      <c r="M12" s="8">
        <f>(Profiles!$B$5*(Profiles!$B$9*F12+Profiles!$B$8*IF(H12="",F12,H12)+Profiles!$B$10*IF(I12="",F12,I12))+Profiles!$C$5*G12)/1000000+Profiles!$D$5*IF(J12="",0,J12)</f>
        <v/>
      </c>
      <c r="N12" s="8">
        <f>K12+L12+M12</f>
        <v/>
      </c>
      <c r="O12" s="8">
        <f>3*N12</f>
        <v/>
      </c>
    </row>
    <row r="13">
      <c r="A13" t="n">
        <v>12</v>
      </c>
      <c r="B13" t="inlineStr">
        <is>
          <t>x-ai/grok-4.7</t>
        </is>
      </c>
      <c r="C13" t="inlineStr">
        <is>
          <t>2026-09-21</t>
        </is>
      </c>
      <c r="D13" t="inlineStr"/>
      <c r="E13" t="inlineStr"/>
      <c r="F13" s="9" t="n">
        <v>1.6</v>
      </c>
      <c r="G13" s="9" t="n">
        <v>4.8</v>
      </c>
      <c r="H13" s="9" t="n">
        <v>0.4</v>
      </c>
      <c r="I13" s="9" t="n"/>
      <c r="J13" s="9" t="n"/>
      <c r="K13" s="10">
        <f>(Profiles!$B$3*(Profiles!$B$9*F13+Profiles!$B$8*IF(H13="",F13,H13)+Profiles!$B$10*IF(I13="",F13,I13))+Profiles!$C$3*G13)/1000000+Profiles!$D$3*IF(J13="",0,J13)</f>
        <v/>
      </c>
      <c r="L13" s="10">
        <f>(Profiles!$B$4*(Profiles!$B$9*F13+Profiles!$B$8*IF(H13="",F13,H13)+Profiles!$B$10*IF(I13="",F13,I13))+Profiles!$C$4*G13)/1000000+Profiles!$D$4*IF(J13="",0,J13)</f>
        <v/>
      </c>
      <c r="M13" s="10">
        <f>(Profiles!$B$5*(Profiles!$B$9*F13+Profiles!$B$8*IF(H13="",F13,H13)+Profiles!$B$10*IF(I13="",F13,I13))+Profiles!$C$5*G13)/1000000+Profiles!$D$5*IF(J13="",0,J13)</f>
        <v/>
      </c>
      <c r="N13" s="10">
        <f>K13+L13+M13</f>
        <v/>
      </c>
      <c r="O13" s="10">
        <f>3*N13</f>
        <v/>
      </c>
    </row>
    <row r="14">
      <c r="A14" t="n">
        <v>13</v>
      </c>
      <c r="B14" t="inlineStr">
        <is>
          <t>qwen/qwen3.8-omni-flash</t>
        </is>
      </c>
      <c r="C14" t="inlineStr">
        <is>
          <t>2026-09-21</t>
        </is>
      </c>
      <c r="D14" t="inlineStr"/>
      <c r="E14" t="inlineStr"/>
      <c r="F14" s="9" t="n">
        <v>0.15</v>
      </c>
      <c r="G14" s="9" t="n">
        <v>0.47</v>
      </c>
      <c r="H14" s="9" t="n">
        <v>0.016</v>
      </c>
      <c r="I14" s="9" t="n"/>
      <c r="J14" s="9" t="n"/>
      <c r="K14" s="10">
        <f>(Profiles!$B$3*(Profiles!$B$9*F14+Profiles!$B$8*IF(H14="",F14,H14)+Profiles!$B$10*IF(I14="",F14,I14))+Profiles!$C$3*G14)/1000000+Profiles!$D$3*IF(J14="",0,J14)</f>
        <v/>
      </c>
      <c r="L14" s="10">
        <f>(Profiles!$B$4*(Profiles!$B$9*F14+Profiles!$B$8*IF(H14="",F14,H14)+Profiles!$B$10*IF(I14="",F14,I14))+Profiles!$C$4*G14)/1000000+Profiles!$D$4*IF(J14="",0,J14)</f>
        <v/>
      </c>
      <c r="M14" s="10">
        <f>(Profiles!$B$5*(Profiles!$B$9*F14+Profiles!$B$8*IF(H14="",F14,H14)+Profiles!$B$10*IF(I14="",F14,I14))+Profiles!$C$5*G14)/1000000+Profiles!$D$5*IF(J14="",0,J14)</f>
        <v/>
      </c>
      <c r="N14" s="10">
        <f>K14+L14+M14</f>
        <v/>
      </c>
      <c r="O14" s="10">
        <f>3*N14</f>
        <v/>
      </c>
    </row>
    <row r="15">
      <c r="A15" t="n">
        <v>14</v>
      </c>
      <c r="B15" t="inlineStr">
        <is>
          <t>prism-ml/ternary-bonsai-2-27b</t>
        </is>
      </c>
      <c r="C15" t="inlineStr">
        <is>
          <t>2026-09-18</t>
        </is>
      </c>
      <c r="D15" t="inlineStr"/>
      <c r="E15" t="inlineStr"/>
      <c r="F15" s="9" t="n">
        <v>0.075</v>
      </c>
      <c r="G15" s="9" t="n">
        <v>0.5</v>
      </c>
      <c r="H15" s="9" t="n"/>
      <c r="I15" s="9" t="n"/>
      <c r="J15" s="9" t="n"/>
      <c r="K15" s="10">
        <f>(Profiles!$B$3*(Profiles!$B$9*F15+Profiles!$B$8*IF(H15="",F15,H15)+Profiles!$B$10*IF(I15="",F15,I15))+Profiles!$C$3*G15)/1000000+Profiles!$D$3*IF(J15="",0,J15)</f>
        <v/>
      </c>
      <c r="L15" s="10">
        <f>(Profiles!$B$4*(Profiles!$B$9*F15+Profiles!$B$8*IF(H15="",F15,H15)+Profiles!$B$10*IF(I15="",F15,I15))+Profiles!$C$4*G15)/1000000+Profiles!$D$4*IF(J15="",0,J15)</f>
        <v/>
      </c>
      <c r="M15" s="10">
        <f>(Profiles!$B$5*(Profiles!$B$9*F15+Profiles!$B$8*IF(H15="",F15,H15)+Profiles!$B$10*IF(I15="",F15,I15))+Profiles!$C$5*G15)/1000000+Profiles!$D$5*IF(J15="",0,J15)</f>
        <v/>
      </c>
      <c r="N15" s="10">
        <f>K15+L15+M15</f>
        <v/>
      </c>
      <c r="O15" s="10">
        <f>3*N15</f>
        <v/>
      </c>
    </row>
    <row r="16">
      <c r="A16" t="n">
        <v>15</v>
      </c>
      <c r="B16" t="inlineStr">
        <is>
          <t>z-ai/glm-5.3-flashx</t>
        </is>
      </c>
      <c r="C16" t="inlineStr">
        <is>
          <t>2026-09-18</t>
        </is>
      </c>
      <c r="D16" t="inlineStr"/>
      <c r="E16" t="inlineStr"/>
      <c r="F16" s="9" t="n">
        <v>0.37</v>
      </c>
      <c r="G16" s="9" t="n">
        <v>1.25</v>
      </c>
      <c r="H16" s="9" t="n">
        <v>0.09</v>
      </c>
      <c r="I16" s="9" t="n"/>
      <c r="J16" s="9" t="n"/>
      <c r="K16" s="10">
        <f>(Profiles!$B$3*(Profiles!$B$9*F16+Profiles!$B$8*IF(H16="",F16,H16)+Profiles!$B$10*IF(I16="",F16,I16))+Profiles!$C$3*G16)/1000000+Profiles!$D$3*IF(J16="",0,J16)</f>
        <v/>
      </c>
      <c r="L16" s="10">
        <f>(Profiles!$B$4*(Profiles!$B$9*F16+Profiles!$B$8*IF(H16="",F16,H16)+Profiles!$B$10*IF(I16="",F16,I16))+Profiles!$C$4*G16)/1000000+Profiles!$D$4*IF(J16="",0,J16)</f>
        <v/>
      </c>
      <c r="M16" s="10">
        <f>(Profiles!$B$5*(Profiles!$B$9*F16+Profiles!$B$8*IF(H16="",F16,H16)+Profiles!$B$10*IF(I16="",F16,I16))+Profiles!$C$5*G16)/1000000+Profiles!$D$5*IF(J16="",0,J16)</f>
        <v/>
      </c>
      <c r="N16" s="10">
        <f>K16+L16+M16</f>
        <v/>
      </c>
      <c r="O16" s="10">
        <f>3*N16</f>
        <v/>
      </c>
    </row>
    <row r="17">
      <c r="A17" t="n">
        <v>16</v>
      </c>
      <c r="B17" t="inlineStr">
        <is>
          <t>unbiased/pareto</t>
        </is>
      </c>
      <c r="C17" t="inlineStr">
        <is>
          <t>2026-09-18</t>
        </is>
      </c>
      <c r="D17" t="inlineStr">
        <is>
          <t>ensemble (several unnamed models per request): kept on purpose</t>
        </is>
      </c>
      <c r="E17" t="inlineStr"/>
      <c r="F17" s="9" t="n">
        <v>2.5</v>
      </c>
      <c r="G17" s="9" t="n">
        <v>7.5</v>
      </c>
      <c r="H17" s="9" t="n">
        <v>0.25</v>
      </c>
      <c r="I17" s="9" t="n"/>
      <c r="J17" s="9" t="n"/>
      <c r="K17" s="10">
        <f>(Profiles!$B$3*(Profiles!$B$9*F17+Profiles!$B$8*IF(H17="",F17,H17)+Profiles!$B$10*IF(I17="",F17,I17))+Profiles!$C$3*G17)/1000000+Profiles!$D$3*IF(J17="",0,J17)</f>
        <v/>
      </c>
      <c r="L17" s="10">
        <f>(Profiles!$B$4*(Profiles!$B$9*F17+Profiles!$B$8*IF(H17="",F17,H17)+Profiles!$B$10*IF(I17="",F17,I17))+Profiles!$C$4*G17)/1000000+Profiles!$D$4*IF(J17="",0,J17)</f>
        <v/>
      </c>
      <c r="M17" s="10">
        <f>(Profiles!$B$5*(Profiles!$B$9*F17+Profiles!$B$8*IF(H17="",F17,H17)+Profiles!$B$10*IF(I17="",F17,I17))+Profiles!$C$5*G17)/1000000+Profiles!$D$5*IF(J17="",0,J17)</f>
        <v/>
      </c>
      <c r="N17" s="10">
        <f>K17+L17+M17</f>
        <v/>
      </c>
      <c r="O17" s="10">
        <f>3*N17</f>
        <v/>
      </c>
    </row>
    <row r="18">
      <c r="A18" t="n">
        <v>17</v>
      </c>
      <c r="B18" t="inlineStr">
        <is>
          <t>inclusionai/ling-3.0-flash-vl</t>
        </is>
      </c>
      <c r="C18" t="inlineStr">
        <is>
          <t>2026-09-10</t>
        </is>
      </c>
      <c r="D18" t="inlineStr"/>
      <c r="E18" t="inlineStr"/>
      <c r="F18" s="9" t="n">
        <v>0.021</v>
      </c>
      <c r="G18" s="9" t="n">
        <v>0.0616</v>
      </c>
      <c r="H18" s="9" t="n">
        <v>0.004200000000000001</v>
      </c>
      <c r="I18" s="9" t="n"/>
      <c r="J18" s="9" t="n"/>
      <c r="K18" s="10">
        <f>(Profiles!$B$3*(Profiles!$B$9*F18+Profiles!$B$8*IF(H18="",F18,H18)+Profiles!$B$10*IF(I18="",F18,I18))+Profiles!$C$3*G18)/1000000+Profiles!$D$3*IF(J18="",0,J18)</f>
        <v/>
      </c>
      <c r="L18" s="10">
        <f>(Profiles!$B$4*(Profiles!$B$9*F18+Profiles!$B$8*IF(H18="",F18,H18)+Profiles!$B$10*IF(I18="",F18,I18))+Profiles!$C$4*G18)/1000000+Profiles!$D$4*IF(J18="",0,J18)</f>
        <v/>
      </c>
      <c r="M18" s="10">
        <f>(Profiles!$B$5*(Profiles!$B$9*F18+Profiles!$B$8*IF(H18="",F18,H18)+Profiles!$B$10*IF(I18="",F18,I18))+Profiles!$C$5*G18)/1000000+Profiles!$D$5*IF(J18="",0,J18)</f>
        <v/>
      </c>
      <c r="N18" s="10">
        <f>K18+L18+M18</f>
        <v/>
      </c>
      <c r="O18" s="10">
        <f>3*N18</f>
        <v/>
      </c>
    </row>
    <row r="19">
      <c r="A19" s="6" t="n">
        <v>18</v>
      </c>
      <c r="B19" s="6" t="inlineStr">
        <is>
          <t>deepseek/deepseek-v4.1-flash</t>
        </is>
      </c>
      <c r="C19" s="6" t="inlineStr">
        <is>
          <t>2026-09-10</t>
        </is>
      </c>
      <c r="D19" s="6" t="inlineStr"/>
      <c r="E19" s="6" t="inlineStr">
        <is>
          <t>yes</t>
        </is>
      </c>
      <c r="F19" s="7" t="n">
        <v>0.035</v>
      </c>
      <c r="G19" s="7" t="n">
        <v>0.29</v>
      </c>
      <c r="H19" s="7" t="n">
        <v>0.001</v>
      </c>
      <c r="I19" s="7" t="n"/>
      <c r="J19" s="7" t="n"/>
      <c r="K19" s="8">
        <f>(Profiles!$B$3*(Profiles!$B$9*F19+Profiles!$B$8*IF(H19="",F19,H19)+Profiles!$B$10*IF(I19="",F19,I19))+Profiles!$C$3*G19)/1000000+Profiles!$D$3*IF(J19="",0,J19)</f>
        <v/>
      </c>
      <c r="L19" s="8">
        <f>(Profiles!$B$4*(Profiles!$B$9*F19+Profiles!$B$8*IF(H19="",F19,H19)+Profiles!$B$10*IF(I19="",F19,I19))+Profiles!$C$4*G19)/1000000+Profiles!$D$4*IF(J19="",0,J19)</f>
        <v/>
      </c>
      <c r="M19" s="8">
        <f>(Profiles!$B$5*(Profiles!$B$9*F19+Profiles!$B$8*IF(H19="",F19,H19)+Profiles!$B$10*IF(I19="",F19,I19))+Profiles!$C$5*G19)/1000000+Profiles!$D$5*IF(J19="",0,J19)</f>
        <v/>
      </c>
      <c r="N19" s="8">
        <f>K19+L19+M19</f>
        <v/>
      </c>
      <c r="O19" s="8">
        <f>3*N19</f>
        <v/>
      </c>
    </row>
    <row r="20">
      <c r="A20" s="6" t="n">
        <v>19</v>
      </c>
      <c r="B20" s="6" t="inlineStr">
        <is>
          <t>openai/gpt-6-astra</t>
        </is>
      </c>
      <c r="C20" s="6" t="inlineStr">
        <is>
          <t>2026-09-04</t>
        </is>
      </c>
      <c r="D20" s="6" t="inlineStr"/>
      <c r="E20" s="6" t="inlineStr">
        <is>
          <t>yes</t>
        </is>
      </c>
      <c r="F20" s="7" t="n">
        <v>10</v>
      </c>
      <c r="G20" s="7" t="n">
        <v>50</v>
      </c>
      <c r="H20" s="7" t="n">
        <v>1</v>
      </c>
      <c r="I20" s="7" t="n">
        <v>12.5</v>
      </c>
      <c r="J20" s="7" t="n"/>
      <c r="K20" s="8">
        <f>(Profiles!$B$3*(Profiles!$B$9*F20+Profiles!$B$8*IF(H20="",F20,H20)+Profiles!$B$10*IF(I20="",F20,I20))+Profiles!$C$3*G20)/1000000+Profiles!$D$3*IF(J20="",0,J20)</f>
        <v/>
      </c>
      <c r="L20" s="8">
        <f>(Profiles!$B$4*(Profiles!$B$9*F20+Profiles!$B$8*IF(H20="",F20,H20)+Profiles!$B$10*IF(I20="",F20,I20))+Profiles!$C$4*G20)/1000000+Profiles!$D$4*IF(J20="",0,J20)</f>
        <v/>
      </c>
      <c r="M20" s="8">
        <f>(Profiles!$B$5*(Profiles!$B$9*F20+Profiles!$B$8*IF(H20="",F20,H20)+Profiles!$B$10*IF(I20="",F20,I20))+Profiles!$C$5*G20)/1000000+Profiles!$D$5*IF(J20="",0,J20)</f>
        <v/>
      </c>
      <c r="N20" s="8">
        <f>K20+L20+M20</f>
        <v/>
      </c>
      <c r="O20" s="8">
        <f>3*N20</f>
        <v/>
      </c>
    </row>
    <row r="21">
      <c r="A21" t="n">
        <v>20</v>
      </c>
      <c r="B21" t="inlineStr">
        <is>
          <t>qwen/qwen3.8-max-0902</t>
        </is>
      </c>
      <c r="C21" t="inlineStr">
        <is>
          <t>2026-09-03</t>
        </is>
      </c>
      <c r="D21" t="inlineStr"/>
      <c r="E21" t="inlineStr"/>
      <c r="F21" s="9" t="n">
        <v>2</v>
      </c>
      <c r="G21" s="9" t="n">
        <v>6</v>
      </c>
      <c r="H21" s="9" t="n">
        <v>0.25</v>
      </c>
      <c r="I21" s="9" t="n">
        <v>2.5</v>
      </c>
      <c r="J21" s="9" t="n"/>
      <c r="K21" s="10">
        <f>(Profiles!$B$3*(Profiles!$B$9*F21+Profiles!$B$8*IF(H21="",F21,H21)+Profiles!$B$10*IF(I21="",F21,I21))+Profiles!$C$3*G21)/1000000+Profiles!$D$3*IF(J21="",0,J21)</f>
        <v/>
      </c>
      <c r="L21" s="10">
        <f>(Profiles!$B$4*(Profiles!$B$9*F21+Profiles!$B$8*IF(H21="",F21,H21)+Profiles!$B$10*IF(I21="",F21,I21))+Profiles!$C$4*G21)/1000000+Profiles!$D$4*IF(J21="",0,J21)</f>
        <v/>
      </c>
      <c r="M21" s="10">
        <f>(Profiles!$B$5*(Profiles!$B$9*F21+Profiles!$B$8*IF(H21="",F21,H21)+Profiles!$B$10*IF(I21="",F21,I21))+Profiles!$C$5*G21)/1000000+Profiles!$D$5*IF(J21="",0,J21)</f>
        <v/>
      </c>
      <c r="N21" s="10">
        <f>K21+L21+M21</f>
        <v/>
      </c>
      <c r="O21" s="10">
        <f>3*N21</f>
        <v/>
      </c>
    </row>
    <row r="22">
      <c r="A22" t="n">
        <v>21</v>
      </c>
      <c r="B22" t="inlineStr">
        <is>
          <t>meta/muse-spark-1.3-contributor</t>
        </is>
      </c>
      <c r="C22" t="inlineStr">
        <is>
          <t>2026-09-02</t>
        </is>
      </c>
      <c r="D22" t="inlineStr">
        <is>
          <t>cheap contributor tier (check its data terms)</t>
        </is>
      </c>
      <c r="E22" t="inlineStr"/>
      <c r="F22" s="9" t="n">
        <v>0.09999999999999999</v>
      </c>
      <c r="G22" s="9" t="n">
        <v>0.2</v>
      </c>
      <c r="H22" s="9" t="n">
        <v>0.002</v>
      </c>
      <c r="I22" s="9" t="n"/>
      <c r="J22" s="9" t="n"/>
      <c r="K22" s="10">
        <f>(Profiles!$B$3*(Profiles!$B$9*F22+Profiles!$B$8*IF(H22="",F22,H22)+Profiles!$B$10*IF(I22="",F22,I22))+Profiles!$C$3*G22)/1000000+Profiles!$D$3*IF(J22="",0,J22)</f>
        <v/>
      </c>
      <c r="L22" s="10">
        <f>(Profiles!$B$4*(Profiles!$B$9*F22+Profiles!$B$8*IF(H22="",F22,H22)+Profiles!$B$10*IF(I22="",F22,I22))+Profiles!$C$4*G22)/1000000+Profiles!$D$4*IF(J22="",0,J22)</f>
        <v/>
      </c>
      <c r="M22" s="10">
        <f>(Profiles!$B$5*(Profiles!$B$9*F22+Profiles!$B$8*IF(H22="",F22,H22)+Profiles!$B$10*IF(I22="",F22,I22))+Profiles!$C$5*G22)/1000000+Profiles!$D$5*IF(J22="",0,J22)</f>
        <v/>
      </c>
      <c r="N22" s="10">
        <f>K22+L22+M22</f>
        <v/>
      </c>
      <c r="O22" s="10">
        <f>3*N22</f>
        <v/>
      </c>
    </row>
    <row r="23">
      <c r="A23" s="6" t="n">
        <v>22</v>
      </c>
      <c r="B23" s="6" t="inlineStr">
        <is>
          <t>meta/muse-spark-1.3</t>
        </is>
      </c>
      <c r="C23" s="6" t="inlineStr">
        <is>
          <t>2026-09-02</t>
        </is>
      </c>
      <c r="D23" s="6" t="inlineStr"/>
      <c r="E23" s="6" t="inlineStr">
        <is>
          <t>yes</t>
        </is>
      </c>
      <c r="F23" s="7" t="n">
        <v>1.25</v>
      </c>
      <c r="G23" s="7" t="n">
        <v>4.25</v>
      </c>
      <c r="H23" s="7" t="n">
        <v>0.15</v>
      </c>
      <c r="I23" s="7" t="n"/>
      <c r="J23" s="7" t="n"/>
      <c r="K23" s="8">
        <f>(Profiles!$B$3*(Profiles!$B$9*F23+Profiles!$B$8*IF(H23="",F23,H23)+Profiles!$B$10*IF(I23="",F23,I23))+Profiles!$C$3*G23)/1000000+Profiles!$D$3*IF(J23="",0,J23)</f>
        <v/>
      </c>
      <c r="L23" s="8">
        <f>(Profiles!$B$4*(Profiles!$B$9*F23+Profiles!$B$8*IF(H23="",F23,H23)+Profiles!$B$10*IF(I23="",F23,I23))+Profiles!$C$4*G23)/1000000+Profiles!$D$4*IF(J23="",0,J23)</f>
        <v/>
      </c>
      <c r="M23" s="8">
        <f>(Profiles!$B$5*(Profiles!$B$9*F23+Profiles!$B$8*IF(H23="",F23,H23)+Profiles!$B$10*IF(I23="",F23,I23))+Profiles!$C$5*G23)/1000000+Profiles!$D$5*IF(J23="",0,J23)</f>
        <v/>
      </c>
      <c r="N23" s="8">
        <f>K23+L23+M23</f>
        <v/>
      </c>
      <c r="O23" s="8">
        <f>3*N23</f>
        <v/>
      </c>
    </row>
    <row r="24">
      <c r="A24" s="6" t="n">
        <v>23</v>
      </c>
      <c r="B24" s="6" t="inlineStr">
        <is>
          <t>google/gemini-3.8-flash</t>
        </is>
      </c>
      <c r="C24" s="6" t="inlineStr">
        <is>
          <t>2026-09-02</t>
        </is>
      </c>
      <c r="D24" s="6" t="inlineStr"/>
      <c r="E24" s="6" t="inlineStr">
        <is>
          <t>yes</t>
        </is>
      </c>
      <c r="F24" s="7" t="n">
        <v>0.75</v>
      </c>
      <c r="G24" s="7" t="n">
        <v>3.75</v>
      </c>
      <c r="H24" s="7" t="n">
        <v>0.075</v>
      </c>
      <c r="I24" s="7" t="n">
        <v>0.0416666666666667</v>
      </c>
      <c r="J24" s="7" t="n">
        <v>7.5e-07</v>
      </c>
      <c r="K24" s="8">
        <f>(Profiles!$B$3*(Profiles!$B$9*F24+Profiles!$B$8*IF(H24="",F24,H24)+Profiles!$B$10*IF(I24="",F24,I24))+Profiles!$C$3*G24)/1000000+Profiles!$D$3*IF(J24="",0,J24)</f>
        <v/>
      </c>
      <c r="L24" s="8">
        <f>(Profiles!$B$4*(Profiles!$B$9*F24+Profiles!$B$8*IF(H24="",F24,H24)+Profiles!$B$10*IF(I24="",F24,I24))+Profiles!$C$4*G24)/1000000+Profiles!$D$4*IF(J24="",0,J24)</f>
        <v/>
      </c>
      <c r="M24" s="8">
        <f>(Profiles!$B$5*(Profiles!$B$9*F24+Profiles!$B$8*IF(H24="",F24,H24)+Profiles!$B$10*IF(I24="",F24,I24))+Profiles!$C$5*G24)/1000000+Profiles!$D$5*IF(J24="",0,J24)</f>
        <v/>
      </c>
      <c r="N24" s="8">
        <f>K24+L24+M24</f>
        <v/>
      </c>
      <c r="O24" s="8">
        <f>3*N24</f>
        <v/>
      </c>
    </row>
    <row r="25">
      <c r="A25" s="6" t="n">
        <v>24</v>
      </c>
      <c r="B25" s="6" t="inlineStr">
        <is>
          <t>anthropic/claude-fable-5.1</t>
        </is>
      </c>
      <c r="C25" s="6" t="inlineStr">
        <is>
          <t>2026-09-01</t>
        </is>
      </c>
      <c r="D25" s="6" t="inlineStr"/>
      <c r="E25" s="6" t="inlineStr">
        <is>
          <t>yes</t>
        </is>
      </c>
      <c r="F25" s="7" t="n">
        <v>10</v>
      </c>
      <c r="G25" s="7" t="n">
        <v>50</v>
      </c>
      <c r="H25" s="7" t="n">
        <v>0.25</v>
      </c>
      <c r="I25" s="7" t="n">
        <v>12.5</v>
      </c>
      <c r="J25" s="7" t="n"/>
      <c r="K25" s="8">
        <f>(Profiles!$B$3*(Profiles!$B$9*F25+Profiles!$B$8*IF(H25="",F25,H25)+Profiles!$B$10*IF(I25="",F25,I25))+Profiles!$C$3*G25)/1000000+Profiles!$D$3*IF(J25="",0,J25)</f>
        <v/>
      </c>
      <c r="L25" s="8">
        <f>(Profiles!$B$4*(Profiles!$B$9*F25+Profiles!$B$8*IF(H25="",F25,H25)+Profiles!$B$10*IF(I25="",F25,I25))+Profiles!$C$4*G25)/1000000+Profiles!$D$4*IF(J25="",0,J25)</f>
        <v/>
      </c>
      <c r="M25" s="8">
        <f>(Profiles!$B$5*(Profiles!$B$9*F25+Profiles!$B$8*IF(H25="",F25,H25)+Profiles!$B$10*IF(I25="",F25,I25))+Profiles!$C$5*G25)/1000000+Profiles!$D$5*IF(J25="",0,J25)</f>
        <v/>
      </c>
      <c r="N25" s="8">
        <f>K25+L25+M25</f>
        <v/>
      </c>
      <c r="O25" s="8">
        <f>3*N25</f>
        <v/>
      </c>
    </row>
    <row r="26">
      <c r="A26" t="n">
        <v>25</v>
      </c>
      <c r="B26" t="inlineStr">
        <is>
          <t>qwen/qwen3.8-flash</t>
        </is>
      </c>
      <c r="C26" t="inlineStr">
        <is>
          <t>2026-08-26</t>
        </is>
      </c>
      <c r="D26" t="inlineStr"/>
      <c r="E26" t="inlineStr"/>
      <c r="F26" s="9" t="n">
        <v>0.15</v>
      </c>
      <c r="G26" s="9" t="n">
        <v>0.47</v>
      </c>
      <c r="H26" s="9" t="n">
        <v>0.016</v>
      </c>
      <c r="I26" s="9" t="n">
        <v>0.2</v>
      </c>
      <c r="J26" s="9" t="n"/>
      <c r="K26" s="10">
        <f>(Profiles!$B$3*(Profiles!$B$9*F26+Profiles!$B$8*IF(H26="",F26,H26)+Profiles!$B$10*IF(I26="",F26,I26))+Profiles!$C$3*G26)/1000000+Profiles!$D$3*IF(J26="",0,J26)</f>
        <v/>
      </c>
      <c r="L26" s="10">
        <f>(Profiles!$B$4*(Profiles!$B$9*F26+Profiles!$B$8*IF(H26="",F26,H26)+Profiles!$B$10*IF(I26="",F26,I26))+Profiles!$C$4*G26)/1000000+Profiles!$D$4*IF(J26="",0,J26)</f>
        <v/>
      </c>
      <c r="M26" s="10">
        <f>(Profiles!$B$5*(Profiles!$B$9*F26+Profiles!$B$8*IF(H26="",F26,H26)+Profiles!$B$10*IF(I26="",F26,I26))+Profiles!$C$5*G26)/1000000+Profiles!$D$5*IF(J26="",0,J26)</f>
        <v/>
      </c>
      <c r="N26" s="10">
        <f>K26+L26+M26</f>
        <v/>
      </c>
      <c r="O26" s="10">
        <f>3*N26</f>
        <v/>
      </c>
    </row>
    <row r="27">
      <c r="A27" s="6" t="n">
        <v>26</v>
      </c>
      <c r="B27" s="6" t="inlineStr">
        <is>
          <t>z-ai/glm-5.3-flash</t>
        </is>
      </c>
      <c r="C27" s="6" t="inlineStr">
        <is>
          <t>2026-08-26</t>
        </is>
      </c>
      <c r="D27" s="6" t="inlineStr"/>
      <c r="E27" s="6" t="inlineStr">
        <is>
          <t>yes</t>
        </is>
      </c>
      <c r="F27" s="7" t="n">
        <v>0.15</v>
      </c>
      <c r="G27" s="7" t="n">
        <v>0.5</v>
      </c>
      <c r="H27" s="7" t="n">
        <v>0.03</v>
      </c>
      <c r="I27" s="7" t="n"/>
      <c r="J27" s="7" t="n"/>
      <c r="K27" s="8">
        <f>(Profiles!$B$3*(Profiles!$B$9*F27+Profiles!$B$8*IF(H27="",F27,H27)+Profiles!$B$10*IF(I27="",F27,I27))+Profiles!$C$3*G27)/1000000+Profiles!$D$3*IF(J27="",0,J27)</f>
        <v/>
      </c>
      <c r="L27" s="8">
        <f>(Profiles!$B$4*(Profiles!$B$9*F27+Profiles!$B$8*IF(H27="",F27,H27)+Profiles!$B$10*IF(I27="",F27,I27))+Profiles!$C$4*G27)/1000000+Profiles!$D$4*IF(J27="",0,J27)</f>
        <v/>
      </c>
      <c r="M27" s="8">
        <f>(Profiles!$B$5*(Profiles!$B$9*F27+Profiles!$B$8*IF(H27="",F27,H27)+Profiles!$B$10*IF(I27="",F27,I27))+Profiles!$C$5*G27)/1000000+Profiles!$D$5*IF(J27="",0,J27)</f>
        <v/>
      </c>
      <c r="N27" s="8">
        <f>K27+L27+M27</f>
        <v/>
      </c>
      <c r="O27" s="8">
        <f>3*N27</f>
        <v/>
      </c>
    </row>
    <row r="28">
      <c r="A28" t="n">
        <v>27</v>
      </c>
      <c r="B28" t="inlineStr">
        <is>
          <t>meta/muse-spark-1.2-contributor</t>
        </is>
      </c>
      <c r="C28" t="inlineStr">
        <is>
          <t>2026-08-21</t>
        </is>
      </c>
      <c r="D28" t="inlineStr"/>
      <c r="E28" t="inlineStr"/>
      <c r="F28" s="9" t="n">
        <v>0.09999999999999999</v>
      </c>
      <c r="G28" s="9" t="n">
        <v>0.2</v>
      </c>
      <c r="H28" s="9" t="n">
        <v>0.002</v>
      </c>
      <c r="I28" s="9" t="n"/>
      <c r="J28" s="9" t="n"/>
      <c r="K28" s="10">
        <f>(Profiles!$B$3*(Profiles!$B$9*F28+Profiles!$B$8*IF(H28="",F28,H28)+Profiles!$B$10*IF(I28="",F28,I28))+Profiles!$C$3*G28)/1000000+Profiles!$D$3*IF(J28="",0,J28)</f>
        <v/>
      </c>
      <c r="L28" s="10">
        <f>(Profiles!$B$4*(Profiles!$B$9*F28+Profiles!$B$8*IF(H28="",F28,H28)+Profiles!$B$10*IF(I28="",F28,I28))+Profiles!$C$4*G28)/1000000+Profiles!$D$4*IF(J28="",0,J28)</f>
        <v/>
      </c>
      <c r="M28" s="10">
        <f>(Profiles!$B$5*(Profiles!$B$9*F28+Profiles!$B$8*IF(H28="",F28,H28)+Profiles!$B$10*IF(I28="",F28,I28))+Profiles!$C$5*G28)/1000000+Profiles!$D$5*IF(J28="",0,J28)</f>
        <v/>
      </c>
      <c r="N28" s="10">
        <f>K28+L28+M28</f>
        <v/>
      </c>
      <c r="O28" s="10">
        <f>3*N28</f>
        <v/>
      </c>
    </row>
    <row r="29">
      <c r="A29" t="n">
        <v>28</v>
      </c>
      <c r="B29" t="inlineStr">
        <is>
          <t>deepseek/deepseek-v4-flash-vision-exp</t>
        </is>
      </c>
      <c r="C29" t="inlineStr">
        <is>
          <t>2026-08-21</t>
        </is>
      </c>
      <c r="D29" t="inlineStr"/>
      <c r="E29" t="inlineStr"/>
      <c r="F29" s="9" t="n">
        <v>0.44</v>
      </c>
      <c r="G29" s="9" t="n">
        <v>1.32</v>
      </c>
      <c r="H29" s="9" t="n">
        <v>0.014</v>
      </c>
      <c r="I29" s="9" t="n"/>
      <c r="J29" s="9" t="n"/>
      <c r="K29" s="10">
        <f>(Profiles!$B$3*(Profiles!$B$9*F29+Profiles!$B$8*IF(H29="",F29,H29)+Profiles!$B$10*IF(I29="",F29,I29))+Profiles!$C$3*G29)/1000000+Profiles!$D$3*IF(J29="",0,J29)</f>
        <v/>
      </c>
      <c r="L29" s="10">
        <f>(Profiles!$B$4*(Profiles!$B$9*F29+Profiles!$B$8*IF(H29="",F29,H29)+Profiles!$B$10*IF(I29="",F29,I29))+Profiles!$C$4*G29)/1000000+Profiles!$D$4*IF(J29="",0,J29)</f>
        <v/>
      </c>
      <c r="M29" s="10">
        <f>(Profiles!$B$5*(Profiles!$B$9*F29+Profiles!$B$8*IF(H29="",F29,H29)+Profiles!$B$10*IF(I29="",F29,I29))+Profiles!$C$5*G29)/1000000+Profiles!$D$5*IF(J29="",0,J29)</f>
        <v/>
      </c>
      <c r="N29" s="10">
        <f>K29+L29+M29</f>
        <v/>
      </c>
      <c r="O29" s="10">
        <f>3*N29</f>
        <v/>
      </c>
    </row>
    <row r="30">
      <c r="A30" t="n">
        <v>29</v>
      </c>
      <c r="B30" t="inlineStr">
        <is>
          <t>qwen/qwen3.8-27b</t>
        </is>
      </c>
      <c r="C30" t="inlineStr">
        <is>
          <t>2026-08-14</t>
        </is>
      </c>
      <c r="D30" t="inlineStr"/>
      <c r="E30" t="inlineStr"/>
      <c r="F30" s="9" t="n">
        <v>0.42</v>
      </c>
      <c r="G30" s="9" t="n">
        <v>3</v>
      </c>
      <c r="H30" s="9" t="n">
        <v>0.08499999999999999</v>
      </c>
      <c r="I30" s="9" t="n"/>
      <c r="J30" s="9" t="n"/>
      <c r="K30" s="10">
        <f>(Profiles!$B$3*(Profiles!$B$9*F30+Profiles!$B$8*IF(H30="",F30,H30)+Profiles!$B$10*IF(I30="",F30,I30))+Profiles!$C$3*G30)/1000000+Profiles!$D$3*IF(J30="",0,J30)</f>
        <v/>
      </c>
      <c r="L30" s="10">
        <f>(Profiles!$B$4*(Profiles!$B$9*F30+Profiles!$B$8*IF(H30="",F30,H30)+Profiles!$B$10*IF(I30="",F30,I30))+Profiles!$C$4*G30)/1000000+Profiles!$D$4*IF(J30="",0,J30)</f>
        <v/>
      </c>
      <c r="M30" s="10">
        <f>(Profiles!$B$5*(Profiles!$B$9*F30+Profiles!$B$8*IF(H30="",F30,H30)+Profiles!$B$10*IF(I30="",F30,I30))+Profiles!$C$5*G30)/1000000+Profiles!$D$5*IF(J30="",0,J30)</f>
        <v/>
      </c>
      <c r="N30" s="10">
        <f>K30+L30+M30</f>
        <v/>
      </c>
      <c r="O30" s="10">
        <f>3*N30</f>
        <v/>
      </c>
    </row>
    <row r="31">
      <c r="A31" t="n">
        <v>30</v>
      </c>
      <c r="B31" t="inlineStr">
        <is>
          <t>google/gemini-3.7-flash</t>
        </is>
      </c>
      <c r="C31" t="inlineStr">
        <is>
          <t>2026-08-13</t>
        </is>
      </c>
      <c r="D31" t="inlineStr"/>
      <c r="E31" t="inlineStr"/>
      <c r="F31" s="9" t="n">
        <v>0.75</v>
      </c>
      <c r="G31" s="9" t="n">
        <v>3.75</v>
      </c>
      <c r="H31" s="9" t="n">
        <v>0.075</v>
      </c>
      <c r="I31" s="9" t="n">
        <v>0.0416666666666667</v>
      </c>
      <c r="J31" s="9" t="n">
        <v>7.5e-07</v>
      </c>
      <c r="K31" s="10">
        <f>(Profiles!$B$3*(Profiles!$B$9*F31+Profiles!$B$8*IF(H31="",F31,H31)+Profiles!$B$10*IF(I31="",F31,I31))+Profiles!$C$3*G31)/1000000+Profiles!$D$3*IF(J31="",0,J31)</f>
        <v/>
      </c>
      <c r="L31" s="10">
        <f>(Profiles!$B$4*(Profiles!$B$9*F31+Profiles!$B$8*IF(H31="",F31,H31)+Profiles!$B$10*IF(I31="",F31,I31))+Profiles!$C$4*G31)/1000000+Profiles!$D$4*IF(J31="",0,J31)</f>
        <v/>
      </c>
      <c r="M31" s="10">
        <f>(Profiles!$B$5*(Profiles!$B$9*F31+Profiles!$B$8*IF(H31="",F31,H31)+Profiles!$B$10*IF(I31="",F31,I31))+Profiles!$C$5*G31)/1000000+Profiles!$D$5*IF(J31="",0,J31)</f>
        <v/>
      </c>
      <c r="N31" s="10">
        <f>K31+L31+M31</f>
        <v/>
      </c>
      <c r="O31" s="10">
        <f>3*N31</f>
        <v/>
      </c>
    </row>
    <row r="32">
      <c r="A32" t="n">
        <v>31</v>
      </c>
      <c r="B32" t="inlineStr">
        <is>
          <t>bytedance-seed/seed-2-1-turbo</t>
        </is>
      </c>
      <c r="C32" t="inlineStr">
        <is>
          <t>2026-08-12</t>
        </is>
      </c>
      <c r="D32" t="inlineStr"/>
      <c r="E32" t="inlineStr"/>
      <c r="F32" s="9" t="n">
        <v>0.5</v>
      </c>
      <c r="G32" s="9" t="n">
        <v>2.5</v>
      </c>
      <c r="H32" s="9" t="n"/>
      <c r="I32" s="9" t="n"/>
      <c r="J32" s="9" t="n"/>
      <c r="K32" s="10">
        <f>(Profiles!$B$3*(Profiles!$B$9*F32+Profiles!$B$8*IF(H32="",F32,H32)+Profiles!$B$10*IF(I32="",F32,I32))+Profiles!$C$3*G32)/1000000+Profiles!$D$3*IF(J32="",0,J32)</f>
        <v/>
      </c>
      <c r="L32" s="10">
        <f>(Profiles!$B$4*(Profiles!$B$9*F32+Profiles!$B$8*IF(H32="",F32,H32)+Profiles!$B$10*IF(I32="",F32,I32))+Profiles!$C$4*G32)/1000000+Profiles!$D$4*IF(J32="",0,J32)</f>
        <v/>
      </c>
      <c r="M32" s="10">
        <f>(Profiles!$B$5*(Profiles!$B$9*F32+Profiles!$B$8*IF(H32="",F32,H32)+Profiles!$B$10*IF(I32="",F32,I32))+Profiles!$C$5*G32)/1000000+Profiles!$D$5*IF(J32="",0,J32)</f>
        <v/>
      </c>
      <c r="N32" s="10">
        <f>K32+L32+M32</f>
        <v/>
      </c>
      <c r="O32" s="10">
        <f>3*N32</f>
        <v/>
      </c>
    </row>
    <row r="33">
      <c r="A33" t="n">
        <v>32</v>
      </c>
      <c r="B33" t="inlineStr">
        <is>
          <t>bytedance-seed/seed-2.0-code</t>
        </is>
      </c>
      <c r="C33" t="inlineStr">
        <is>
          <t>2026-08-12</t>
        </is>
      </c>
      <c r="D33" t="inlineStr"/>
      <c r="E33" t="inlineStr"/>
      <c r="F33" s="9" t="n">
        <v>0.5</v>
      </c>
      <c r="G33" s="9" t="n">
        <v>3</v>
      </c>
      <c r="H33" s="9" t="n"/>
      <c r="I33" s="9" t="n"/>
      <c r="J33" s="9" t="n"/>
      <c r="K33" s="10">
        <f>(Profiles!$B$3*(Profiles!$B$9*F33+Profiles!$B$8*IF(H33="",F33,H33)+Profiles!$B$10*IF(I33="",F33,I33))+Profiles!$C$3*G33)/1000000+Profiles!$D$3*IF(J33="",0,J33)</f>
        <v/>
      </c>
      <c r="L33" s="10">
        <f>(Profiles!$B$4*(Profiles!$B$9*F33+Profiles!$B$8*IF(H33="",F33,H33)+Profiles!$B$10*IF(I33="",F33,I33))+Profiles!$C$4*G33)/1000000+Profiles!$D$4*IF(J33="",0,J33)</f>
        <v/>
      </c>
      <c r="M33" s="10">
        <f>(Profiles!$B$5*(Profiles!$B$9*F33+Profiles!$B$8*IF(H33="",F33,H33)+Profiles!$B$10*IF(I33="",F33,I33))+Profiles!$C$5*G33)/1000000+Profiles!$D$5*IF(J33="",0,J33)</f>
        <v/>
      </c>
      <c r="N33" s="10">
        <f>K33+L33+M33</f>
        <v/>
      </c>
      <c r="O33" s="10">
        <f>3*N33</f>
        <v/>
      </c>
    </row>
    <row r="34">
      <c r="A34" t="n">
        <v>33</v>
      </c>
      <c r="B34" t="inlineStr">
        <is>
          <t>x-ai/grok-4.6</t>
        </is>
      </c>
      <c r="C34" t="inlineStr">
        <is>
          <t>2026-08-12</t>
        </is>
      </c>
      <c r="D34" t="inlineStr"/>
      <c r="E34" t="inlineStr"/>
      <c r="F34" s="9" t="n">
        <v>2</v>
      </c>
      <c r="G34" s="9" t="n">
        <v>6</v>
      </c>
      <c r="H34" s="9" t="n">
        <v>0.5</v>
      </c>
      <c r="I34" s="9" t="n"/>
      <c r="J34" s="9" t="n"/>
      <c r="K34" s="10">
        <f>(Profiles!$B$3*(Profiles!$B$9*F34+Profiles!$B$8*IF(H34="",F34,H34)+Profiles!$B$10*IF(I34="",F34,I34))+Profiles!$C$3*G34)/1000000+Profiles!$D$3*IF(J34="",0,J34)</f>
        <v/>
      </c>
      <c r="L34" s="10">
        <f>(Profiles!$B$4*(Profiles!$B$9*F34+Profiles!$B$8*IF(H34="",F34,H34)+Profiles!$B$10*IF(I34="",F34,I34))+Profiles!$C$4*G34)/1000000+Profiles!$D$4*IF(J34="",0,J34)</f>
        <v/>
      </c>
      <c r="M34" s="10">
        <f>(Profiles!$B$5*(Profiles!$B$9*F34+Profiles!$B$8*IF(H34="",F34,H34)+Profiles!$B$10*IF(I34="",F34,I34))+Profiles!$C$5*G34)/1000000+Profiles!$D$5*IF(J34="",0,J34)</f>
        <v/>
      </c>
      <c r="N34" s="10">
        <f>K34+L34+M34</f>
        <v/>
      </c>
      <c r="O34" s="10">
        <f>3*N34</f>
        <v/>
      </c>
    </row>
    <row r="35">
      <c r="A35" t="n">
        <v>34</v>
      </c>
      <c r="B35" t="inlineStr">
        <is>
          <t>meta/muse-glimmer-30b</t>
        </is>
      </c>
      <c r="C35" t="inlineStr">
        <is>
          <t>2026-08-09</t>
        </is>
      </c>
      <c r="D35" t="inlineStr"/>
      <c r="E35" t="inlineStr"/>
      <c r="F35" s="9" t="n">
        <v>0.3</v>
      </c>
      <c r="G35" s="9" t="n">
        <v>1.2</v>
      </c>
      <c r="H35" s="9" t="n">
        <v>0.04</v>
      </c>
      <c r="I35" s="9" t="n"/>
      <c r="J35" s="9" t="n"/>
      <c r="K35" s="10">
        <f>(Profiles!$B$3*(Profiles!$B$9*F35+Profiles!$B$8*IF(H35="",F35,H35)+Profiles!$B$10*IF(I35="",F35,I35))+Profiles!$C$3*G35)/1000000+Profiles!$D$3*IF(J35="",0,J35)</f>
        <v/>
      </c>
      <c r="L35" s="10">
        <f>(Profiles!$B$4*(Profiles!$B$9*F35+Profiles!$B$8*IF(H35="",F35,H35)+Profiles!$B$10*IF(I35="",F35,I35))+Profiles!$C$4*G35)/1000000+Profiles!$D$4*IF(J35="",0,J35)</f>
        <v/>
      </c>
      <c r="M35" s="10">
        <f>(Profiles!$B$5*(Profiles!$B$9*F35+Profiles!$B$8*IF(H35="",F35,H35)+Profiles!$B$10*IF(I35="",F35,I35))+Profiles!$C$5*G35)/1000000+Profiles!$D$5*IF(J35="",0,J35)</f>
        <v/>
      </c>
      <c r="N35" s="10">
        <f>K35+L35+M35</f>
        <v/>
      </c>
      <c r="O35" s="10">
        <f>3*N35</f>
        <v/>
      </c>
    </row>
    <row r="36">
      <c r="A36" t="n">
        <v>35</v>
      </c>
      <c r="B36" t="inlineStr">
        <is>
          <t>meta/muse-spark-1.2</t>
        </is>
      </c>
      <c r="C36" t="inlineStr">
        <is>
          <t>2026-08-05</t>
        </is>
      </c>
      <c r="D36" t="inlineStr"/>
      <c r="E36" t="inlineStr"/>
      <c r="F36" s="9" t="n">
        <v>1.25</v>
      </c>
      <c r="G36" s="9" t="n">
        <v>4.25</v>
      </c>
      <c r="H36" s="9" t="n">
        <v>0.15</v>
      </c>
      <c r="I36" s="9" t="n"/>
      <c r="J36" s="9" t="n"/>
      <c r="K36" s="10">
        <f>(Profiles!$B$3*(Profiles!$B$9*F36+Profiles!$B$8*IF(H36="",F36,H36)+Profiles!$B$10*IF(I36="",F36,I36))+Profiles!$C$3*G36)/1000000+Profiles!$D$3*IF(J36="",0,J36)</f>
        <v/>
      </c>
      <c r="L36" s="10">
        <f>(Profiles!$B$4*(Profiles!$B$9*F36+Profiles!$B$8*IF(H36="",F36,H36)+Profiles!$B$10*IF(I36="",F36,I36))+Profiles!$C$4*G36)/1000000+Profiles!$D$4*IF(J36="",0,J36)</f>
        <v/>
      </c>
      <c r="M36" s="10">
        <f>(Profiles!$B$5*(Profiles!$B$9*F36+Profiles!$B$8*IF(H36="",F36,H36)+Profiles!$B$10*IF(I36="",F36,I36))+Profiles!$C$5*G36)/1000000+Profiles!$D$5*IF(J36="",0,J36)</f>
        <v/>
      </c>
      <c r="N36" s="10">
        <f>K36+L36+M36</f>
        <v/>
      </c>
      <c r="O36" s="10">
        <f>3*N36</f>
        <v/>
      </c>
    </row>
    <row r="37">
      <c r="A37" t="n">
        <v>36</v>
      </c>
      <c r="B37" t="inlineStr">
        <is>
          <t>thinkingmachines/inkling-small</t>
        </is>
      </c>
      <c r="C37" t="inlineStr">
        <is>
          <t>2026-07-30</t>
        </is>
      </c>
      <c r="D37" t="inlineStr"/>
      <c r="E37" t="inlineStr"/>
      <c r="F37" s="9" t="n">
        <v>0.45</v>
      </c>
      <c r="G37" s="9" t="n">
        <v>1.2</v>
      </c>
      <c r="H37" s="9" t="n">
        <v>0.09999999999999999</v>
      </c>
      <c r="I37" s="9" t="n"/>
      <c r="J37" s="9" t="n"/>
      <c r="K37" s="10">
        <f>(Profiles!$B$3*(Profiles!$B$9*F37+Profiles!$B$8*IF(H37="",F37,H37)+Profiles!$B$10*IF(I37="",F37,I37))+Profiles!$C$3*G37)/1000000+Profiles!$D$3*IF(J37="",0,J37)</f>
        <v/>
      </c>
      <c r="L37" s="10">
        <f>(Profiles!$B$4*(Profiles!$B$9*F37+Profiles!$B$8*IF(H37="",F37,H37)+Profiles!$B$10*IF(I37="",F37,I37))+Profiles!$C$4*G37)/1000000+Profiles!$D$4*IF(J37="",0,J37)</f>
        <v/>
      </c>
      <c r="M37" s="10">
        <f>(Profiles!$B$5*(Profiles!$B$9*F37+Profiles!$B$8*IF(H37="",F37,H37)+Profiles!$B$10*IF(I37="",F37,I37))+Profiles!$C$5*G37)/1000000+Profiles!$D$5*IF(J37="",0,J37)</f>
        <v/>
      </c>
      <c r="N37" s="10">
        <f>K37+L37+M37</f>
        <v/>
      </c>
      <c r="O37" s="10">
        <f>3*N37</f>
        <v/>
      </c>
    </row>
    <row r="38">
      <c r="A38" t="n">
        <v>37</v>
      </c>
      <c r="B38" t="inlineStr">
        <is>
          <t>qwen/qwen3.7-flash</t>
        </is>
      </c>
      <c r="C38" t="inlineStr">
        <is>
          <t>2026-07-27</t>
        </is>
      </c>
      <c r="D38" t="inlineStr"/>
      <c r="E38" t="inlineStr"/>
      <c r="F38" s="9" t="n">
        <v>0.03</v>
      </c>
      <c r="G38" s="9" t="n">
        <v>0.13</v>
      </c>
      <c r="H38" s="9" t="n">
        <v>0.006</v>
      </c>
      <c r="I38" s="9" t="n">
        <v>0.03800000000000001</v>
      </c>
      <c r="J38" s="9" t="n"/>
      <c r="K38" s="10">
        <f>(Profiles!$B$3*(Profiles!$B$9*F38+Profiles!$B$8*IF(H38="",F38,H38)+Profiles!$B$10*IF(I38="",F38,I38))+Profiles!$C$3*G38)/1000000+Profiles!$D$3*IF(J38="",0,J38)</f>
        <v/>
      </c>
      <c r="L38" s="10">
        <f>(Profiles!$B$4*(Profiles!$B$9*F38+Profiles!$B$8*IF(H38="",F38,H38)+Profiles!$B$10*IF(I38="",F38,I38))+Profiles!$C$4*G38)/1000000+Profiles!$D$4*IF(J38="",0,J38)</f>
        <v/>
      </c>
      <c r="M38" s="10">
        <f>(Profiles!$B$5*(Profiles!$B$9*F38+Profiles!$B$8*IF(H38="",F38,H38)+Profiles!$B$10*IF(I38="",F38,I38))+Profiles!$C$5*G38)/1000000+Profiles!$D$5*IF(J38="",0,J38)</f>
        <v/>
      </c>
      <c r="N38" s="10">
        <f>K38+L38+M38</f>
        <v/>
      </c>
      <c r="O38" s="10">
        <f>3*N38</f>
        <v/>
      </c>
    </row>
    <row r="39">
      <c r="A39" t="n">
        <v>38</v>
      </c>
      <c r="B39" t="inlineStr">
        <is>
          <t>anthropic/claude-opus-5</t>
        </is>
      </c>
      <c r="C39" t="inlineStr">
        <is>
          <t>2026-07-24</t>
        </is>
      </c>
      <c r="D39" t="inlineStr"/>
      <c r="E39" t="inlineStr"/>
      <c r="F39" s="9" t="n">
        <v>5</v>
      </c>
      <c r="G39" s="9" t="n">
        <v>25</v>
      </c>
      <c r="H39" s="9" t="n">
        <v>0.5</v>
      </c>
      <c r="I39" s="9" t="n">
        <v>6.25</v>
      </c>
      <c r="J39" s="9" t="n"/>
      <c r="K39" s="10">
        <f>(Profiles!$B$3*(Profiles!$B$9*F39+Profiles!$B$8*IF(H39="",F39,H39)+Profiles!$B$10*IF(I39="",F39,I39))+Profiles!$C$3*G39)/1000000+Profiles!$D$3*IF(J39="",0,J39)</f>
        <v/>
      </c>
      <c r="L39" s="10">
        <f>(Profiles!$B$4*(Profiles!$B$9*F39+Profiles!$B$8*IF(H39="",F39,H39)+Profiles!$B$10*IF(I39="",F39,I39))+Profiles!$C$4*G39)/1000000+Profiles!$D$4*IF(J39="",0,J39)</f>
        <v/>
      </c>
      <c r="M39" s="10">
        <f>(Profiles!$B$5*(Profiles!$B$9*F39+Profiles!$B$8*IF(H39="",F39,H39)+Profiles!$B$10*IF(I39="",F39,I39))+Profiles!$C$5*G39)/1000000+Profiles!$D$5*IF(J39="",0,J39)</f>
        <v/>
      </c>
      <c r="N39" s="10">
        <f>K39+L39+M39</f>
        <v/>
      </c>
      <c r="O39" s="10">
        <f>3*N39</f>
        <v/>
      </c>
    </row>
    <row r="40">
      <c r="A40" t="n">
        <v>39</v>
      </c>
      <c r="B40" t="inlineStr">
        <is>
          <t>google/gemini-3.6-flash</t>
        </is>
      </c>
      <c r="C40" t="inlineStr">
        <is>
          <t>2026-07-21</t>
        </is>
      </c>
      <c r="D40" t="inlineStr"/>
      <c r="E40" t="inlineStr"/>
      <c r="F40" s="9" t="n">
        <v>0.75</v>
      </c>
      <c r="G40" s="9" t="n">
        <v>3.75</v>
      </c>
      <c r="H40" s="9" t="n">
        <v>0.075</v>
      </c>
      <c r="I40" s="9" t="n">
        <v>0.0416666666666667</v>
      </c>
      <c r="J40" s="9" t="n">
        <v>7.5e-07</v>
      </c>
      <c r="K40" s="10">
        <f>(Profiles!$B$3*(Profiles!$B$9*F40+Profiles!$B$8*IF(H40="",F40,H40)+Profiles!$B$10*IF(I40="",F40,I40))+Profiles!$C$3*G40)/1000000+Profiles!$D$3*IF(J40="",0,J40)</f>
        <v/>
      </c>
      <c r="L40" s="10">
        <f>(Profiles!$B$4*(Profiles!$B$9*F40+Profiles!$B$8*IF(H40="",F40,H40)+Profiles!$B$10*IF(I40="",F40,I40))+Profiles!$C$4*G40)/1000000+Profiles!$D$4*IF(J40="",0,J40)</f>
        <v/>
      </c>
      <c r="M40" s="10">
        <f>(Profiles!$B$5*(Profiles!$B$9*F40+Profiles!$B$8*IF(H40="",F40,H40)+Profiles!$B$10*IF(I40="",F40,I40))+Profiles!$C$5*G40)/1000000+Profiles!$D$5*IF(J40="",0,J40)</f>
        <v/>
      </c>
      <c r="N40" s="10">
        <f>K40+L40+M40</f>
        <v/>
      </c>
      <c r="O40" s="10">
        <f>3*N40</f>
        <v/>
      </c>
    </row>
    <row r="41">
      <c r="A41" t="n">
        <v>40</v>
      </c>
      <c r="B41" t="inlineStr">
        <is>
          <t>google/gemini-3.5-flash-lite</t>
        </is>
      </c>
      <c r="C41" t="inlineStr">
        <is>
          <t>2026-07-21</t>
        </is>
      </c>
      <c r="D41" t="inlineStr">
        <is>
          <t>Flash Lite line (3.5 is its newest)</t>
        </is>
      </c>
      <c r="E41" t="inlineStr"/>
      <c r="F41" s="9" t="n">
        <v>0.3</v>
      </c>
      <c r="G41" s="9" t="n">
        <v>2.5</v>
      </c>
      <c r="H41" s="9" t="n">
        <v>0.03</v>
      </c>
      <c r="I41" s="9" t="n">
        <v>0.0833333333333333</v>
      </c>
      <c r="J41" s="9" t="n">
        <v>3e-07</v>
      </c>
      <c r="K41" s="10">
        <f>(Profiles!$B$3*(Profiles!$B$9*F41+Profiles!$B$8*IF(H41="",F41,H41)+Profiles!$B$10*IF(I41="",F41,I41))+Profiles!$C$3*G41)/1000000+Profiles!$D$3*IF(J41="",0,J41)</f>
        <v/>
      </c>
      <c r="L41" s="10">
        <f>(Profiles!$B$4*(Profiles!$B$9*F41+Profiles!$B$8*IF(H41="",F41,H41)+Profiles!$B$10*IF(I41="",F41,I41))+Profiles!$C$4*G41)/1000000+Profiles!$D$4*IF(J41="",0,J41)</f>
        <v/>
      </c>
      <c r="M41" s="10">
        <f>(Profiles!$B$5*(Profiles!$B$9*F41+Profiles!$B$8*IF(H41="",F41,H41)+Profiles!$B$10*IF(I41="",F41,I41))+Profiles!$C$5*G41)/1000000+Profiles!$D$5*IF(J41="",0,J41)</f>
        <v/>
      </c>
      <c r="N41" s="10">
        <f>K41+L41+M41</f>
        <v/>
      </c>
      <c r="O41" s="10">
        <f>3*N41</f>
        <v/>
      </c>
    </row>
    <row r="42">
      <c r="A42" t="n">
        <v>41</v>
      </c>
      <c r="B42" t="inlineStr">
        <is>
          <t>thinkingmachines/inkling</t>
        </is>
      </c>
      <c r="C42" t="inlineStr">
        <is>
          <t>2026-07-17</t>
        </is>
      </c>
      <c r="D42" t="inlineStr"/>
      <c r="E42" t="inlineStr"/>
      <c r="F42" s="9" t="n">
        <v>1</v>
      </c>
      <c r="G42" s="9" t="n">
        <v>4.05</v>
      </c>
      <c r="H42" s="9" t="n">
        <v>0.17</v>
      </c>
      <c r="I42" s="9" t="n"/>
      <c r="J42" s="9" t="n"/>
      <c r="K42" s="10">
        <f>(Profiles!$B$3*(Profiles!$B$9*F42+Profiles!$B$8*IF(H42="",F42,H42)+Profiles!$B$10*IF(I42="",F42,I42))+Profiles!$C$3*G42)/1000000+Profiles!$D$3*IF(J42="",0,J42)</f>
        <v/>
      </c>
      <c r="L42" s="10">
        <f>(Profiles!$B$4*(Profiles!$B$9*F42+Profiles!$B$8*IF(H42="",F42,H42)+Profiles!$B$10*IF(I42="",F42,I42))+Profiles!$C$4*G42)/1000000+Profiles!$D$4*IF(J42="",0,J42)</f>
        <v/>
      </c>
      <c r="M42" s="10">
        <f>(Profiles!$B$5*(Profiles!$B$9*F42+Profiles!$B$8*IF(H42="",F42,H42)+Profiles!$B$10*IF(I42="",F42,I42))+Profiles!$C$5*G42)/1000000+Profiles!$D$5*IF(J42="",0,J42)</f>
        <v/>
      </c>
      <c r="N42" s="10">
        <f>K42+L42+M42</f>
        <v/>
      </c>
      <c r="O42" s="10">
        <f>3*N42</f>
        <v/>
      </c>
    </row>
    <row r="43">
      <c r="A43" s="6" t="n">
        <v>42</v>
      </c>
      <c r="B43" s="6" t="inlineStr">
        <is>
          <t>moonshotai/kimi-k3</t>
        </is>
      </c>
      <c r="C43" s="6" t="inlineStr">
        <is>
          <t>2026-07-16</t>
        </is>
      </c>
      <c r="D43" s="6" t="inlineStr"/>
      <c r="E43" s="6" t="inlineStr">
        <is>
          <t>yes</t>
        </is>
      </c>
      <c r="F43" s="7" t="n">
        <v>3</v>
      </c>
      <c r="G43" s="7" t="n">
        <v>15</v>
      </c>
      <c r="H43" s="7" t="n">
        <v>0.3</v>
      </c>
      <c r="I43" s="7" t="n"/>
      <c r="J43" s="7" t="n"/>
      <c r="K43" s="8">
        <f>(Profiles!$B$3*(Profiles!$B$9*F43+Profiles!$B$8*IF(H43="",F43,H43)+Profiles!$B$10*IF(I43="",F43,I43))+Profiles!$C$3*G43)/1000000+Profiles!$D$3*IF(J43="",0,J43)</f>
        <v/>
      </c>
      <c r="L43" s="8">
        <f>(Profiles!$B$4*(Profiles!$B$9*F43+Profiles!$B$8*IF(H43="",F43,H43)+Profiles!$B$10*IF(I43="",F43,I43))+Profiles!$C$4*G43)/1000000+Profiles!$D$4*IF(J43="",0,J43)</f>
        <v/>
      </c>
      <c r="M43" s="8">
        <f>(Profiles!$B$5*(Profiles!$B$9*F43+Profiles!$B$8*IF(H43="",F43,H43)+Profiles!$B$10*IF(I43="",F43,I43))+Profiles!$C$5*G43)/1000000+Profiles!$D$5*IF(J43="",0,J43)</f>
        <v/>
      </c>
      <c r="N43" s="8">
        <f>K43+L43+M43</f>
        <v/>
      </c>
      <c r="O43" s="8">
        <f>3*N43</f>
        <v/>
      </c>
    </row>
    <row r="44">
      <c r="A44" t="n">
        <v>43</v>
      </c>
      <c r="B44" t="inlineStr">
        <is>
          <t>meta/muse-spark-1.1</t>
        </is>
      </c>
      <c r="C44" t="inlineStr">
        <is>
          <t>2026-07-16</t>
        </is>
      </c>
      <c r="D44" t="inlineStr"/>
      <c r="E44" t="inlineStr"/>
      <c r="F44" s="9" t="n">
        <v>1.25</v>
      </c>
      <c r="G44" s="9" t="n">
        <v>4.25</v>
      </c>
      <c r="H44" s="9" t="n">
        <v>0.15</v>
      </c>
      <c r="I44" s="9" t="n"/>
      <c r="J44" s="9" t="n"/>
      <c r="K44" s="10">
        <f>(Profiles!$B$3*(Profiles!$B$9*F44+Profiles!$B$8*IF(H44="",F44,H44)+Profiles!$B$10*IF(I44="",F44,I44))+Profiles!$C$3*G44)/1000000+Profiles!$D$3*IF(J44="",0,J44)</f>
        <v/>
      </c>
      <c r="L44" s="10">
        <f>(Profiles!$B$4*(Profiles!$B$9*F44+Profiles!$B$8*IF(H44="",F44,H44)+Profiles!$B$10*IF(I44="",F44,I44))+Profiles!$C$4*G44)/1000000+Profiles!$D$4*IF(J44="",0,J44)</f>
        <v/>
      </c>
      <c r="M44" s="10">
        <f>(Profiles!$B$5*(Profiles!$B$9*F44+Profiles!$B$8*IF(H44="",F44,H44)+Profiles!$B$10*IF(I44="",F44,I44))+Profiles!$C$5*G44)/1000000+Profiles!$D$5*IF(J44="",0,J44)</f>
        <v/>
      </c>
      <c r="N44" s="10">
        <f>K44+L44+M44</f>
        <v/>
      </c>
      <c r="O44" s="10">
        <f>3*N44</f>
        <v/>
      </c>
    </row>
    <row r="45">
      <c r="A45" t="n">
        <v>44</v>
      </c>
      <c r="B45" t="inlineStr">
        <is>
          <t>openai/gpt-5.6-luna</t>
        </is>
      </c>
      <c r="C45" t="inlineStr">
        <is>
          <t>2026-07-09</t>
        </is>
      </c>
      <c r="D45" t="inlineStr"/>
      <c r="E45" t="inlineStr"/>
      <c r="F45" s="9" t="n">
        <v>0.2</v>
      </c>
      <c r="G45" s="9" t="n">
        <v>1.2</v>
      </c>
      <c r="H45" s="9" t="n">
        <v>0.02</v>
      </c>
      <c r="I45" s="9" t="n">
        <v>0.25</v>
      </c>
      <c r="J45" s="9" t="n"/>
      <c r="K45" s="10">
        <f>(Profiles!$B$3*(Profiles!$B$9*F45+Profiles!$B$8*IF(H45="",F45,H45)+Profiles!$B$10*IF(I45="",F45,I45))+Profiles!$C$3*G45)/1000000+Profiles!$D$3*IF(J45="",0,J45)</f>
        <v/>
      </c>
      <c r="L45" s="10">
        <f>(Profiles!$B$4*(Profiles!$B$9*F45+Profiles!$B$8*IF(H45="",F45,H45)+Profiles!$B$10*IF(I45="",F45,I45))+Profiles!$C$4*G45)/1000000+Profiles!$D$4*IF(J45="",0,J45)</f>
        <v/>
      </c>
      <c r="M45" s="10">
        <f>(Profiles!$B$5*(Profiles!$B$9*F45+Profiles!$B$8*IF(H45="",F45,H45)+Profiles!$B$10*IF(I45="",F45,I45))+Profiles!$C$5*G45)/1000000+Profiles!$D$5*IF(J45="",0,J45)</f>
        <v/>
      </c>
      <c r="N45" s="10">
        <f>K45+L45+M45</f>
        <v/>
      </c>
      <c r="O45" s="10">
        <f>3*N45</f>
        <v/>
      </c>
    </row>
    <row r="46">
      <c r="A46" t="n">
        <v>45</v>
      </c>
      <c r="B46" t="inlineStr">
        <is>
          <t>openai/gpt-5.6-terra</t>
        </is>
      </c>
      <c r="C46" t="inlineStr">
        <is>
          <t>2026-07-09</t>
        </is>
      </c>
      <c r="D46" t="inlineStr"/>
      <c r="E46" t="inlineStr"/>
      <c r="F46" s="9" t="n">
        <v>2</v>
      </c>
      <c r="G46" s="9" t="n">
        <v>12</v>
      </c>
      <c r="H46" s="9" t="n">
        <v>0.2</v>
      </c>
      <c r="I46" s="9" t="n">
        <v>2.5</v>
      </c>
      <c r="J46" s="9" t="n"/>
      <c r="K46" s="10">
        <f>(Profiles!$B$3*(Profiles!$B$9*F46+Profiles!$B$8*IF(H46="",F46,H46)+Profiles!$B$10*IF(I46="",F46,I46))+Profiles!$C$3*G46)/1000000+Profiles!$D$3*IF(J46="",0,J46)</f>
        <v/>
      </c>
      <c r="L46" s="10">
        <f>(Profiles!$B$4*(Profiles!$B$9*F46+Profiles!$B$8*IF(H46="",F46,H46)+Profiles!$B$10*IF(I46="",F46,I46))+Profiles!$C$4*G46)/1000000+Profiles!$D$4*IF(J46="",0,J46)</f>
        <v/>
      </c>
      <c r="M46" s="10">
        <f>(Profiles!$B$5*(Profiles!$B$9*F46+Profiles!$B$8*IF(H46="",F46,H46)+Profiles!$B$10*IF(I46="",F46,I46))+Profiles!$C$5*G46)/1000000+Profiles!$D$5*IF(J46="",0,J46)</f>
        <v/>
      </c>
      <c r="N46" s="10">
        <f>K46+L46+M46</f>
        <v/>
      </c>
      <c r="O46" s="10">
        <f>3*N46</f>
        <v/>
      </c>
    </row>
    <row r="47">
      <c r="A47" t="n">
        <v>46</v>
      </c>
      <c r="B47" t="inlineStr">
        <is>
          <t>openai/gpt-5.6-sol</t>
        </is>
      </c>
      <c r="C47" t="inlineStr">
        <is>
          <t>2026-07-09</t>
        </is>
      </c>
      <c r="D47" t="inlineStr"/>
      <c r="E47" t="inlineStr"/>
      <c r="F47" s="9" t="n">
        <v>2</v>
      </c>
      <c r="G47" s="9" t="n">
        <v>10</v>
      </c>
      <c r="H47" s="9" t="n">
        <v>0.2</v>
      </c>
      <c r="I47" s="9" t="n">
        <v>2.5</v>
      </c>
      <c r="J47" s="9" t="n"/>
      <c r="K47" s="10">
        <f>(Profiles!$B$3*(Profiles!$B$9*F47+Profiles!$B$8*IF(H47="",F47,H47)+Profiles!$B$10*IF(I47="",F47,I47))+Profiles!$C$3*G47)/1000000+Profiles!$D$3*IF(J47="",0,J47)</f>
        <v/>
      </c>
      <c r="L47" s="10">
        <f>(Profiles!$B$4*(Profiles!$B$9*F47+Profiles!$B$8*IF(H47="",F47,H47)+Profiles!$B$10*IF(I47="",F47,I47))+Profiles!$C$4*G47)/1000000+Profiles!$D$4*IF(J47="",0,J47)</f>
        <v/>
      </c>
      <c r="M47" s="10">
        <f>(Profiles!$B$5*(Profiles!$B$9*F47+Profiles!$B$8*IF(H47="",F47,H47)+Profiles!$B$10*IF(I47="",F47,I47))+Profiles!$C$5*G47)/1000000+Profiles!$D$5*IF(J47="",0,J47)</f>
        <v/>
      </c>
      <c r="N47" s="10">
        <f>K47+L47+M47</f>
        <v/>
      </c>
      <c r="O47" s="10">
        <f>3*N47</f>
        <v/>
      </c>
    </row>
    <row r="48">
      <c r="A48" t="n">
        <v>47</v>
      </c>
      <c r="B48" t="inlineStr">
        <is>
          <t>x-ai/grok-4.5</t>
        </is>
      </c>
      <c r="C48" t="inlineStr">
        <is>
          <t>2026-07-08</t>
        </is>
      </c>
      <c r="D48" t="inlineStr"/>
      <c r="E48" t="inlineStr"/>
      <c r="F48" s="9" t="n">
        <v>2</v>
      </c>
      <c r="G48" s="9" t="n">
        <v>6</v>
      </c>
      <c r="H48" s="9" t="n">
        <v>0.3</v>
      </c>
      <c r="I48" s="9" t="n"/>
      <c r="J48" s="9" t="n"/>
      <c r="K48" s="10">
        <f>(Profiles!$B$3*(Profiles!$B$9*F48+Profiles!$B$8*IF(H48="",F48,H48)+Profiles!$B$10*IF(I48="",F48,I48))+Profiles!$C$3*G48)/1000000+Profiles!$D$3*IF(J48="",0,J48)</f>
        <v/>
      </c>
      <c r="L48" s="10">
        <f>(Profiles!$B$4*(Profiles!$B$9*F48+Profiles!$B$8*IF(H48="",F48,H48)+Profiles!$B$10*IF(I48="",F48,I48))+Profiles!$C$4*G48)/1000000+Profiles!$D$4*IF(J48="",0,J48)</f>
        <v/>
      </c>
      <c r="M48" s="10">
        <f>(Profiles!$B$5*(Profiles!$B$9*F48+Profiles!$B$8*IF(H48="",F48,H48)+Profiles!$B$10*IF(I48="",F48,I48))+Profiles!$C$5*G48)/1000000+Profiles!$D$5*IF(J48="",0,J48)</f>
        <v/>
      </c>
      <c r="N48" s="10">
        <f>K48+L48+M48</f>
        <v/>
      </c>
      <c r="O48" s="10">
        <f>3*N48</f>
        <v/>
      </c>
    </row>
    <row r="49">
      <c r="A49" t="n">
        <v>48</v>
      </c>
      <c r="B49" t="inlineStr">
        <is>
          <t>anthropic/claude-sonnet-5</t>
        </is>
      </c>
      <c r="C49" t="inlineStr">
        <is>
          <t>2026-06-30</t>
        </is>
      </c>
      <c r="D49" t="inlineStr"/>
      <c r="E49" t="inlineStr"/>
      <c r="F49" s="9" t="n">
        <v>2</v>
      </c>
      <c r="G49" s="9" t="n">
        <v>10</v>
      </c>
      <c r="H49" s="9" t="n">
        <v>0.2</v>
      </c>
      <c r="I49" s="9" t="n">
        <v>2.5</v>
      </c>
      <c r="J49" s="9" t="n"/>
      <c r="K49" s="10">
        <f>(Profiles!$B$3*(Profiles!$B$9*F49+Profiles!$B$8*IF(H49="",F49,H49)+Profiles!$B$10*IF(I49="",F49,I49))+Profiles!$C$3*G49)/1000000+Profiles!$D$3*IF(J49="",0,J49)</f>
        <v/>
      </c>
      <c r="L49" s="10">
        <f>(Profiles!$B$4*(Profiles!$B$9*F49+Profiles!$B$8*IF(H49="",F49,H49)+Profiles!$B$10*IF(I49="",F49,I49))+Profiles!$C$4*G49)/1000000+Profiles!$D$4*IF(J49="",0,J49)</f>
        <v/>
      </c>
      <c r="M49" s="10">
        <f>(Profiles!$B$5*(Profiles!$B$9*F49+Profiles!$B$8*IF(H49="",F49,H49)+Profiles!$B$10*IF(I49="",F49,I49))+Profiles!$C$5*G49)/1000000+Profiles!$D$5*IF(J49="",0,J49)</f>
        <v/>
      </c>
      <c r="N49" s="10">
        <f>K49+L49+M49</f>
        <v/>
      </c>
      <c r="O49" s="10">
        <f>3*N49</f>
        <v/>
      </c>
    </row>
    <row r="50">
      <c r="A50" t="n">
        <v>49</v>
      </c>
      <c r="B50" t="inlineStr">
        <is>
          <t>moonshotai/kimi-k2.7-code</t>
        </is>
      </c>
      <c r="C50" t="inlineStr">
        <is>
          <t>2026-06-12</t>
        </is>
      </c>
      <c r="D50" t="inlineStr"/>
      <c r="E50" t="inlineStr"/>
      <c r="F50" s="9" t="n">
        <v>0.6562</v>
      </c>
      <c r="G50" s="9" t="n">
        <v>3.3</v>
      </c>
      <c r="H50" s="9" t="n">
        <v>0.18</v>
      </c>
      <c r="I50" s="9" t="n"/>
      <c r="J50" s="9" t="n"/>
      <c r="K50" s="10">
        <f>(Profiles!$B$3*(Profiles!$B$9*F50+Profiles!$B$8*IF(H50="",F50,H50)+Profiles!$B$10*IF(I50="",F50,I50))+Profiles!$C$3*G50)/1000000+Profiles!$D$3*IF(J50="",0,J50)</f>
        <v/>
      </c>
      <c r="L50" s="10">
        <f>(Profiles!$B$4*(Profiles!$B$9*F50+Profiles!$B$8*IF(H50="",F50,H50)+Profiles!$B$10*IF(I50="",F50,I50))+Profiles!$C$4*G50)/1000000+Profiles!$D$4*IF(J50="",0,J50)</f>
        <v/>
      </c>
      <c r="M50" s="10">
        <f>(Profiles!$B$5*(Profiles!$B$9*F50+Profiles!$B$8*IF(H50="",F50,H50)+Profiles!$B$10*IF(I50="",F50,I50))+Profiles!$C$5*G50)/1000000+Profiles!$D$5*IF(J50="",0,J50)</f>
        <v/>
      </c>
      <c r="N50" s="10">
        <f>K50+L50+M50</f>
        <v/>
      </c>
      <c r="O50" s="10">
        <f>3*N50</f>
        <v/>
      </c>
    </row>
    <row r="51">
      <c r="A51" t="n">
        <v>50</v>
      </c>
      <c r="B51" t="inlineStr">
        <is>
          <t>anthropic/claude-fable-5</t>
        </is>
      </c>
      <c r="C51" t="inlineStr">
        <is>
          <t>2026-06-09</t>
        </is>
      </c>
      <c r="D51" t="inlineStr"/>
      <c r="E51" t="inlineStr"/>
      <c r="F51" s="9" t="n">
        <v>10</v>
      </c>
      <c r="G51" s="9" t="n">
        <v>50</v>
      </c>
      <c r="H51" s="9" t="n">
        <v>1</v>
      </c>
      <c r="I51" s="9" t="n">
        <v>12.5</v>
      </c>
      <c r="J51" s="9" t="n"/>
      <c r="K51" s="10">
        <f>(Profiles!$B$3*(Profiles!$B$9*F51+Profiles!$B$8*IF(H51="",F51,H51)+Profiles!$B$10*IF(I51="",F51,I51))+Profiles!$C$3*G51)/1000000+Profiles!$D$3*IF(J51="",0,J51)</f>
        <v/>
      </c>
      <c r="L51" s="10">
        <f>(Profiles!$B$4*(Profiles!$B$9*F51+Profiles!$B$8*IF(H51="",F51,H51)+Profiles!$B$10*IF(I51="",F51,I51))+Profiles!$C$4*G51)/1000000+Profiles!$D$4*IF(J51="",0,J51)</f>
        <v/>
      </c>
      <c r="M51" s="10">
        <f>(Profiles!$B$5*(Profiles!$B$9*F51+Profiles!$B$8*IF(H51="",F51,H51)+Profiles!$B$10*IF(I51="",F51,I51))+Profiles!$C$5*G51)/1000000+Profiles!$D$5*IF(J51="",0,J51)</f>
        <v/>
      </c>
      <c r="N51" s="10">
        <f>K51+L51+M51</f>
        <v/>
      </c>
      <c r="O51" s="10">
        <f>3*N51</f>
        <v/>
      </c>
    </row>
    <row r="52">
      <c r="A52" t="n">
        <v>51</v>
      </c>
      <c r="B52" t="inlineStr">
        <is>
          <t>qwen/qwen3.7-plus</t>
        </is>
      </c>
      <c r="C52" t="inlineStr">
        <is>
          <t>2026-06-03</t>
        </is>
      </c>
      <c r="D52" t="inlineStr"/>
      <c r="E52" t="inlineStr"/>
      <c r="F52" s="9" t="n">
        <v>0.32</v>
      </c>
      <c r="G52" s="9" t="n">
        <v>1.28</v>
      </c>
      <c r="H52" s="9" t="n">
        <v>0.064</v>
      </c>
      <c r="I52" s="9" t="n">
        <v>0.4</v>
      </c>
      <c r="J52" s="9" t="n"/>
      <c r="K52" s="10">
        <f>(Profiles!$B$3*(Profiles!$B$9*F52+Profiles!$B$8*IF(H52="",F52,H52)+Profiles!$B$10*IF(I52="",F52,I52))+Profiles!$C$3*G52)/1000000+Profiles!$D$3*IF(J52="",0,J52)</f>
        <v/>
      </c>
      <c r="L52" s="10">
        <f>(Profiles!$B$4*(Profiles!$B$9*F52+Profiles!$B$8*IF(H52="",F52,H52)+Profiles!$B$10*IF(I52="",F52,I52))+Profiles!$C$4*G52)/1000000+Profiles!$D$4*IF(J52="",0,J52)</f>
        <v/>
      </c>
      <c r="M52" s="10">
        <f>(Profiles!$B$5*(Profiles!$B$9*F52+Profiles!$B$8*IF(H52="",F52,H52)+Profiles!$B$10*IF(I52="",F52,I52))+Profiles!$C$5*G52)/1000000+Profiles!$D$5*IF(J52="",0,J52)</f>
        <v/>
      </c>
      <c r="N52" s="10">
        <f>K52+L52+M52</f>
        <v/>
      </c>
      <c r="O52" s="10">
        <f>3*N52</f>
        <v/>
      </c>
    </row>
    <row r="53">
      <c r="A53" t="n">
        <v>52</v>
      </c>
      <c r="B53" t="inlineStr">
        <is>
          <t>minimax/minimax-m3</t>
        </is>
      </c>
      <c r="C53" t="inlineStr">
        <is>
          <t>2026-05-31</t>
        </is>
      </c>
      <c r="D53" t="inlineStr"/>
      <c r="E53" t="inlineStr"/>
      <c r="F53" s="9" t="n">
        <v>0.3</v>
      </c>
      <c r="G53" s="9" t="n">
        <v>1.2</v>
      </c>
      <c r="H53" s="9" t="n">
        <v>0.06</v>
      </c>
      <c r="I53" s="9" t="n"/>
      <c r="J53" s="9" t="n"/>
      <c r="K53" s="10">
        <f>(Profiles!$B$3*(Profiles!$B$9*F53+Profiles!$B$8*IF(H53="",F53,H53)+Profiles!$B$10*IF(I53="",F53,I53))+Profiles!$C$3*G53)/1000000+Profiles!$D$3*IF(J53="",0,J53)</f>
        <v/>
      </c>
      <c r="L53" s="10">
        <f>(Profiles!$B$4*(Profiles!$B$9*F53+Profiles!$B$8*IF(H53="",F53,H53)+Profiles!$B$10*IF(I53="",F53,I53))+Profiles!$C$4*G53)/1000000+Profiles!$D$4*IF(J53="",0,J53)</f>
        <v/>
      </c>
      <c r="M53" s="10">
        <f>(Profiles!$B$5*(Profiles!$B$9*F53+Profiles!$B$8*IF(H53="",F53,H53)+Profiles!$B$10*IF(I53="",F53,I53))+Profiles!$C$5*G53)/1000000+Profiles!$D$5*IF(J53="",0,J53)</f>
        <v/>
      </c>
      <c r="N53" s="10">
        <f>K53+L53+M53</f>
        <v/>
      </c>
      <c r="O53" s="10">
        <f>3*N53</f>
        <v/>
      </c>
    </row>
    <row r="54">
      <c r="A54" t="n">
        <v>53</v>
      </c>
      <c r="B54" t="inlineStr">
        <is>
          <t>stepfun/step-3.7-flash</t>
        </is>
      </c>
      <c r="C54" t="inlineStr">
        <is>
          <t>2026-05-28</t>
        </is>
      </c>
      <c r="D54" t="inlineStr"/>
      <c r="E54" t="inlineStr"/>
      <c r="F54" s="9" t="n">
        <v>0.2</v>
      </c>
      <c r="G54" s="9" t="n">
        <v>1.15</v>
      </c>
      <c r="H54" s="9" t="n">
        <v>0.04</v>
      </c>
      <c r="I54" s="9" t="n"/>
      <c r="J54" s="9" t="n"/>
      <c r="K54" s="10">
        <f>(Profiles!$B$3*(Profiles!$B$9*F54+Profiles!$B$8*IF(H54="",F54,H54)+Profiles!$B$10*IF(I54="",F54,I54))+Profiles!$C$3*G54)/1000000+Profiles!$D$3*IF(J54="",0,J54)</f>
        <v/>
      </c>
      <c r="L54" s="10">
        <f>(Profiles!$B$4*(Profiles!$B$9*F54+Profiles!$B$8*IF(H54="",F54,H54)+Profiles!$B$10*IF(I54="",F54,I54))+Profiles!$C$4*G54)/1000000+Profiles!$D$4*IF(J54="",0,J54)</f>
        <v/>
      </c>
      <c r="M54" s="10">
        <f>(Profiles!$B$5*(Profiles!$B$9*F54+Profiles!$B$8*IF(H54="",F54,H54)+Profiles!$B$10*IF(I54="",F54,I54))+Profiles!$C$5*G54)/1000000+Profiles!$D$5*IF(J54="",0,J54)</f>
        <v/>
      </c>
      <c r="N54" s="10">
        <f>K54+L54+M54</f>
        <v/>
      </c>
      <c r="O54" s="10">
        <f>3*N54</f>
        <v/>
      </c>
    </row>
    <row r="55">
      <c r="A55" t="n">
        <v>54</v>
      </c>
      <c r="B55" t="inlineStr">
        <is>
          <t>anthropic/claude-opus-4.8</t>
        </is>
      </c>
      <c r="C55" t="inlineStr">
        <is>
          <t>2026-05-27</t>
        </is>
      </c>
      <c r="D55" t="inlineStr"/>
      <c r="E55" t="inlineStr"/>
      <c r="F55" s="9" t="n">
        <v>5</v>
      </c>
      <c r="G55" s="9" t="n">
        <v>25</v>
      </c>
      <c r="H55" s="9" t="n">
        <v>0.5</v>
      </c>
      <c r="I55" s="9" t="n">
        <v>6.25</v>
      </c>
      <c r="J55" s="9" t="n"/>
      <c r="K55" s="10">
        <f>(Profiles!$B$3*(Profiles!$B$9*F55+Profiles!$B$8*IF(H55="",F55,H55)+Profiles!$B$10*IF(I55="",F55,I55))+Profiles!$C$3*G55)/1000000+Profiles!$D$3*IF(J55="",0,J55)</f>
        <v/>
      </c>
      <c r="L55" s="10">
        <f>(Profiles!$B$4*(Profiles!$B$9*F55+Profiles!$B$8*IF(H55="",F55,H55)+Profiles!$B$10*IF(I55="",F55,I55))+Profiles!$C$4*G55)/1000000+Profiles!$D$4*IF(J55="",0,J55)</f>
        <v/>
      </c>
      <c r="M55" s="10">
        <f>(Profiles!$B$5*(Profiles!$B$9*F55+Profiles!$B$8*IF(H55="",F55,H55)+Profiles!$B$10*IF(I55="",F55,I55))+Profiles!$C$5*G55)/1000000+Profiles!$D$5*IF(J55="",0,J55)</f>
        <v/>
      </c>
      <c r="N55" s="10">
        <f>K55+L55+M55</f>
        <v/>
      </c>
      <c r="O55" s="10">
        <f>3*N55</f>
        <v/>
      </c>
    </row>
    <row r="56">
      <c r="A56" t="n">
        <v>55</v>
      </c>
      <c r="B56" t="inlineStr">
        <is>
          <t>x-ai/grok-build-0.1</t>
        </is>
      </c>
      <c r="C56" t="inlineStr">
        <is>
          <t>2026-05-20</t>
        </is>
      </c>
      <c r="D56" t="inlineStr">
        <is>
          <t>xAI's coding model</t>
        </is>
      </c>
      <c r="E56" t="inlineStr"/>
      <c r="F56" s="9" t="n">
        <v>1</v>
      </c>
      <c r="G56" s="9" t="n">
        <v>2</v>
      </c>
      <c r="H56" s="9" t="n">
        <v>0.2</v>
      </c>
      <c r="I56" s="9" t="n"/>
      <c r="J56" s="9" t="n"/>
      <c r="K56" s="10">
        <f>(Profiles!$B$3*(Profiles!$B$9*F56+Profiles!$B$8*IF(H56="",F56,H56)+Profiles!$B$10*IF(I56="",F56,I56))+Profiles!$C$3*G56)/1000000+Profiles!$D$3*IF(J56="",0,J56)</f>
        <v/>
      </c>
      <c r="L56" s="10">
        <f>(Profiles!$B$4*(Profiles!$B$9*F56+Profiles!$B$8*IF(H56="",F56,H56)+Profiles!$B$10*IF(I56="",F56,I56))+Profiles!$C$4*G56)/1000000+Profiles!$D$4*IF(J56="",0,J56)</f>
        <v/>
      </c>
      <c r="M56" s="10">
        <f>(Profiles!$B$5*(Profiles!$B$9*F56+Profiles!$B$8*IF(H56="",F56,H56)+Profiles!$B$10*IF(I56="",F56,I56))+Profiles!$C$5*G56)/1000000+Profiles!$D$5*IF(J56="",0,J56)</f>
        <v/>
      </c>
      <c r="N56" s="10">
        <f>K56+L56+M56</f>
        <v/>
      </c>
      <c r="O56" s="10">
        <f>3*N56</f>
        <v/>
      </c>
    </row>
    <row r="57">
      <c r="A57" t="n">
        <v>56</v>
      </c>
      <c r="B57" t="inlineStr">
        <is>
          <t>google/gemini-3.5-flash</t>
        </is>
      </c>
      <c r="C57" t="inlineStr">
        <is>
          <t>2026-05-19</t>
        </is>
      </c>
      <c r="D57" t="inlineStr"/>
      <c r="E57" t="inlineStr"/>
      <c r="F57" s="9" t="n">
        <v>1.5</v>
      </c>
      <c r="G57" s="9" t="n">
        <v>9</v>
      </c>
      <c r="H57" s="9" t="n">
        <v>0.15</v>
      </c>
      <c r="I57" s="9" t="n">
        <v>0.0833333333333333</v>
      </c>
      <c r="J57" s="9" t="n">
        <v>1.5e-06</v>
      </c>
      <c r="K57" s="10">
        <f>(Profiles!$B$3*(Profiles!$B$9*F57+Profiles!$B$8*IF(H57="",F57,H57)+Profiles!$B$10*IF(I57="",F57,I57))+Profiles!$C$3*G57)/1000000+Profiles!$D$3*IF(J57="",0,J57)</f>
        <v/>
      </c>
      <c r="L57" s="10">
        <f>(Profiles!$B$4*(Profiles!$B$9*F57+Profiles!$B$8*IF(H57="",F57,H57)+Profiles!$B$10*IF(I57="",F57,I57))+Profiles!$C$4*G57)/1000000+Profiles!$D$4*IF(J57="",0,J57)</f>
        <v/>
      </c>
      <c r="M57" s="10">
        <f>(Profiles!$B$5*(Profiles!$B$9*F57+Profiles!$B$8*IF(H57="",F57,H57)+Profiles!$B$10*IF(I57="",F57,I57))+Profiles!$C$5*G57)/1000000+Profiles!$D$5*IF(J57="",0,J57)</f>
        <v/>
      </c>
      <c r="N57" s="10">
        <f>K57+L57+M57</f>
        <v/>
      </c>
      <c r="O57" s="10">
        <f>3*N57</f>
        <v/>
      </c>
    </row>
    <row r="58">
      <c r="A58" t="n">
        <v>57</v>
      </c>
      <c r="B58" t="inlineStr">
        <is>
          <t>google/gemini-3.1-flash-lite</t>
        </is>
      </c>
      <c r="C58" t="inlineStr">
        <is>
          <t>2026-05-07</t>
        </is>
      </c>
      <c r="D58" t="inlineStr"/>
      <c r="E58" t="inlineStr"/>
      <c r="F58" s="9" t="n">
        <v>0.25</v>
      </c>
      <c r="G58" s="9" t="n">
        <v>1.5</v>
      </c>
      <c r="H58" s="9" t="n">
        <v>0.025</v>
      </c>
      <c r="I58" s="9" t="n">
        <v>0.0833333333333333</v>
      </c>
      <c r="J58" s="9" t="n">
        <v>2.5e-07</v>
      </c>
      <c r="K58" s="10">
        <f>(Profiles!$B$3*(Profiles!$B$9*F58+Profiles!$B$8*IF(H58="",F58,H58)+Profiles!$B$10*IF(I58="",F58,I58))+Profiles!$C$3*G58)/1000000+Profiles!$D$3*IF(J58="",0,J58)</f>
        <v/>
      </c>
      <c r="L58" s="10">
        <f>(Profiles!$B$4*(Profiles!$B$9*F58+Profiles!$B$8*IF(H58="",F58,H58)+Profiles!$B$10*IF(I58="",F58,I58))+Profiles!$C$4*G58)/1000000+Profiles!$D$4*IF(J58="",0,J58)</f>
        <v/>
      </c>
      <c r="M58" s="10">
        <f>(Profiles!$B$5*(Profiles!$B$9*F58+Profiles!$B$8*IF(H58="",F58,H58)+Profiles!$B$10*IF(I58="",F58,I58))+Profiles!$C$5*G58)/1000000+Profiles!$D$5*IF(J58="",0,J58)</f>
        <v/>
      </c>
      <c r="N58" s="10">
        <f>K58+L58+M58</f>
        <v/>
      </c>
      <c r="O58" s="10">
        <f>3*N58</f>
        <v/>
      </c>
    </row>
    <row r="59">
      <c r="A59" t="n">
        <v>58</v>
      </c>
      <c r="B59" t="inlineStr">
        <is>
          <t>openai/gpt-chat-latest</t>
        </is>
      </c>
      <c r="C59" t="inlineStr">
        <is>
          <t>2026-05-05</t>
        </is>
      </c>
      <c r="D59" t="inlineStr"/>
      <c r="E59" t="inlineStr"/>
      <c r="F59" s="9" t="n">
        <v>5</v>
      </c>
      <c r="G59" s="9" t="n">
        <v>30</v>
      </c>
      <c r="H59" s="9" t="n">
        <v>0.5</v>
      </c>
      <c r="I59" s="9" t="n"/>
      <c r="J59" s="9" t="n"/>
      <c r="K59" s="10">
        <f>(Profiles!$B$3*(Profiles!$B$9*F59+Profiles!$B$8*IF(H59="",F59,H59)+Profiles!$B$10*IF(I59="",F59,I59))+Profiles!$C$3*G59)/1000000+Profiles!$D$3*IF(J59="",0,J59)</f>
        <v/>
      </c>
      <c r="L59" s="10">
        <f>(Profiles!$B$4*(Profiles!$B$9*F59+Profiles!$B$8*IF(H59="",F59,H59)+Profiles!$B$10*IF(I59="",F59,I59))+Profiles!$C$4*G59)/1000000+Profiles!$D$4*IF(J59="",0,J59)</f>
        <v/>
      </c>
      <c r="M59" s="10">
        <f>(Profiles!$B$5*(Profiles!$B$9*F59+Profiles!$B$8*IF(H59="",F59,H59)+Profiles!$B$10*IF(I59="",F59,I59))+Profiles!$C$5*G59)/1000000+Profiles!$D$5*IF(J59="",0,J59)</f>
        <v/>
      </c>
      <c r="N59" s="10">
        <f>K59+L59+M59</f>
        <v/>
      </c>
      <c r="O59" s="10">
        <f>3*N59</f>
        <v/>
      </c>
    </row>
    <row r="60">
      <c r="A60" t="n">
        <v>59</v>
      </c>
      <c r="B60" t="inlineStr">
        <is>
          <t>x-ai/grok-4.3</t>
        </is>
      </c>
      <c r="C60" t="inlineStr">
        <is>
          <t>2026-05-01</t>
        </is>
      </c>
      <c r="D60" t="inlineStr"/>
      <c r="E60" t="inlineStr"/>
      <c r="F60" s="9" t="n">
        <v>1.25</v>
      </c>
      <c r="G60" s="9" t="n">
        <v>2.5</v>
      </c>
      <c r="H60" s="9" t="n">
        <v>0.2</v>
      </c>
      <c r="I60" s="9" t="n"/>
      <c r="J60" s="9" t="n"/>
      <c r="K60" s="10">
        <f>(Profiles!$B$3*(Profiles!$B$9*F60+Profiles!$B$8*IF(H60="",F60,H60)+Profiles!$B$10*IF(I60="",F60,I60))+Profiles!$C$3*G60)/1000000+Profiles!$D$3*IF(J60="",0,J60)</f>
        <v/>
      </c>
      <c r="L60" s="10">
        <f>(Profiles!$B$4*(Profiles!$B$9*F60+Profiles!$B$8*IF(H60="",F60,H60)+Profiles!$B$10*IF(I60="",F60,I60))+Profiles!$C$4*G60)/1000000+Profiles!$D$4*IF(J60="",0,J60)</f>
        <v/>
      </c>
      <c r="M60" s="10">
        <f>(Profiles!$B$5*(Profiles!$B$9*F60+Profiles!$B$8*IF(H60="",F60,H60)+Profiles!$B$10*IF(I60="",F60,I60))+Profiles!$C$5*G60)/1000000+Profiles!$D$5*IF(J60="",0,J60)</f>
        <v/>
      </c>
      <c r="N60" s="10">
        <f>K60+L60+M60</f>
        <v/>
      </c>
      <c r="O60" s="10">
        <f>3*N60</f>
        <v/>
      </c>
    </row>
    <row r="61">
      <c r="A61" t="n">
        <v>60</v>
      </c>
      <c r="B61" t="inlineStr">
        <is>
          <t>mistralai/mistral-medium-3-5</t>
        </is>
      </c>
      <c r="C61" t="inlineStr">
        <is>
          <t>2026-04-30</t>
        </is>
      </c>
      <c r="D61" t="inlineStr">
        <is>
          <t>cached tokens at 10% per Mistral (not listed on OpenRouter)</t>
        </is>
      </c>
      <c r="E61" t="inlineStr"/>
      <c r="F61" s="9" t="n">
        <v>1.5</v>
      </c>
      <c r="G61" s="9" t="n">
        <v>7.5</v>
      </c>
      <c r="H61" s="9" t="n">
        <v>0.15</v>
      </c>
      <c r="I61" s="9" t="n"/>
      <c r="J61" s="9" t="n"/>
      <c r="K61" s="10">
        <f>(Profiles!$B$3*(Profiles!$B$9*F61+Profiles!$B$8*IF(H61="",F61,H61)+Profiles!$B$10*IF(I61="",F61,I61))+Profiles!$C$3*G61)/1000000+Profiles!$D$3*IF(J61="",0,J61)</f>
        <v/>
      </c>
      <c r="L61" s="10">
        <f>(Profiles!$B$4*(Profiles!$B$9*F61+Profiles!$B$8*IF(H61="",F61,H61)+Profiles!$B$10*IF(I61="",F61,I61))+Profiles!$C$4*G61)/1000000+Profiles!$D$4*IF(J61="",0,J61)</f>
        <v/>
      </c>
      <c r="M61" s="10">
        <f>(Profiles!$B$5*(Profiles!$B$9*F61+Profiles!$B$8*IF(H61="",F61,H61)+Profiles!$B$10*IF(I61="",F61,I61))+Profiles!$C$5*G61)/1000000+Profiles!$D$5*IF(J61="",0,J61)</f>
        <v/>
      </c>
      <c r="N61" s="10">
        <f>K61+L61+M61</f>
        <v/>
      </c>
      <c r="O61" s="10">
        <f>3*N61</f>
        <v/>
      </c>
    </row>
    <row r="62">
      <c r="A62" t="n">
        <v>61</v>
      </c>
      <c r="B62" t="inlineStr">
        <is>
          <t>qwen/qwen3.5-plus-20260420</t>
        </is>
      </c>
      <c r="C62" t="inlineStr">
        <is>
          <t>2026-04-27</t>
        </is>
      </c>
      <c r="D62" t="inlineStr"/>
      <c r="E62" t="inlineStr"/>
      <c r="F62" s="9" t="n">
        <v>0.3</v>
      </c>
      <c r="G62" s="9" t="n">
        <v>1.8</v>
      </c>
      <c r="H62" s="9" t="n"/>
      <c r="I62" s="9" t="n">
        <v>0.375</v>
      </c>
      <c r="J62" s="9" t="n"/>
      <c r="K62" s="10">
        <f>(Profiles!$B$3*(Profiles!$B$9*F62+Profiles!$B$8*IF(H62="",F62,H62)+Profiles!$B$10*IF(I62="",F62,I62))+Profiles!$C$3*G62)/1000000+Profiles!$D$3*IF(J62="",0,J62)</f>
        <v/>
      </c>
      <c r="L62" s="10">
        <f>(Profiles!$B$4*(Profiles!$B$9*F62+Profiles!$B$8*IF(H62="",F62,H62)+Profiles!$B$10*IF(I62="",F62,I62))+Profiles!$C$4*G62)/1000000+Profiles!$D$4*IF(J62="",0,J62)</f>
        <v/>
      </c>
      <c r="M62" s="10">
        <f>(Profiles!$B$5*(Profiles!$B$9*F62+Profiles!$B$8*IF(H62="",F62,H62)+Profiles!$B$10*IF(I62="",F62,I62))+Profiles!$C$5*G62)/1000000+Profiles!$D$5*IF(J62="",0,J62)</f>
        <v/>
      </c>
      <c r="N62" s="10">
        <f>K62+L62+M62</f>
        <v/>
      </c>
      <c r="O62" s="10">
        <f>3*N62</f>
        <v/>
      </c>
    </row>
    <row r="63">
      <c r="A63" t="n">
        <v>62</v>
      </c>
      <c r="B63" t="inlineStr">
        <is>
          <t>qwen/qwen3.6-flash</t>
        </is>
      </c>
      <c r="C63" t="inlineStr">
        <is>
          <t>2026-04-27</t>
        </is>
      </c>
      <c r="D63" t="inlineStr"/>
      <c r="E63" t="inlineStr"/>
      <c r="F63" s="9" t="n">
        <v>0.1875</v>
      </c>
      <c r="G63" s="9" t="n">
        <v>1.125</v>
      </c>
      <c r="H63" s="9" t="n"/>
      <c r="I63" s="9" t="n">
        <v>0.234375</v>
      </c>
      <c r="J63" s="9" t="n"/>
      <c r="K63" s="10">
        <f>(Profiles!$B$3*(Profiles!$B$9*F63+Profiles!$B$8*IF(H63="",F63,H63)+Profiles!$B$10*IF(I63="",F63,I63))+Profiles!$C$3*G63)/1000000+Profiles!$D$3*IF(J63="",0,J63)</f>
        <v/>
      </c>
      <c r="L63" s="10">
        <f>(Profiles!$B$4*(Profiles!$B$9*F63+Profiles!$B$8*IF(H63="",F63,H63)+Profiles!$B$10*IF(I63="",F63,I63))+Profiles!$C$4*G63)/1000000+Profiles!$D$4*IF(J63="",0,J63)</f>
        <v/>
      </c>
      <c r="M63" s="10">
        <f>(Profiles!$B$5*(Profiles!$B$9*F63+Profiles!$B$8*IF(H63="",F63,H63)+Profiles!$B$10*IF(I63="",F63,I63))+Profiles!$C$5*G63)/1000000+Profiles!$D$5*IF(J63="",0,J63)</f>
        <v/>
      </c>
      <c r="N63" s="10">
        <f>K63+L63+M63</f>
        <v/>
      </c>
      <c r="O63" s="10">
        <f>3*N63</f>
        <v/>
      </c>
    </row>
    <row r="64">
      <c r="A64" t="n">
        <v>63</v>
      </c>
      <c r="B64" t="inlineStr">
        <is>
          <t>qwen/qwen3.6-35b-a3b</t>
        </is>
      </c>
      <c r="C64" t="inlineStr">
        <is>
          <t>2026-04-27</t>
        </is>
      </c>
      <c r="D64" t="inlineStr"/>
      <c r="E64" t="inlineStr"/>
      <c r="F64" s="9" t="n">
        <v>0.15</v>
      </c>
      <c r="G64" s="9" t="n">
        <v>1</v>
      </c>
      <c r="H64" s="9" t="n">
        <v>0.05</v>
      </c>
      <c r="I64" s="9" t="n"/>
      <c r="J64" s="9" t="n"/>
      <c r="K64" s="10">
        <f>(Profiles!$B$3*(Profiles!$B$9*F64+Profiles!$B$8*IF(H64="",F64,H64)+Profiles!$B$10*IF(I64="",F64,I64))+Profiles!$C$3*G64)/1000000+Profiles!$D$3*IF(J64="",0,J64)</f>
        <v/>
      </c>
      <c r="L64" s="10">
        <f>(Profiles!$B$4*(Profiles!$B$9*F64+Profiles!$B$8*IF(H64="",F64,H64)+Profiles!$B$10*IF(I64="",F64,I64))+Profiles!$C$4*G64)/1000000+Profiles!$D$4*IF(J64="",0,J64)</f>
        <v/>
      </c>
      <c r="M64" s="10">
        <f>(Profiles!$B$5*(Profiles!$B$9*F64+Profiles!$B$8*IF(H64="",F64,H64)+Profiles!$B$10*IF(I64="",F64,I64))+Profiles!$C$5*G64)/1000000+Profiles!$D$5*IF(J64="",0,J64)</f>
        <v/>
      </c>
      <c r="N64" s="10">
        <f>K64+L64+M64</f>
        <v/>
      </c>
      <c r="O64" s="10">
        <f>3*N64</f>
        <v/>
      </c>
    </row>
    <row r="65">
      <c r="A65" t="n">
        <v>64</v>
      </c>
      <c r="B65" t="inlineStr">
        <is>
          <t>qwen/qwen3.6-27b</t>
        </is>
      </c>
      <c r="C65" t="inlineStr">
        <is>
          <t>2026-04-27</t>
        </is>
      </c>
      <c r="D65" t="inlineStr"/>
      <c r="E65" t="inlineStr"/>
      <c r="F65" s="9" t="n">
        <v>0.32</v>
      </c>
      <c r="G65" s="9" t="n">
        <v>3.2</v>
      </c>
      <c r="H65" s="9" t="n"/>
      <c r="I65" s="9" t="n"/>
      <c r="J65" s="9" t="n"/>
      <c r="K65" s="10">
        <f>(Profiles!$B$3*(Profiles!$B$9*F65+Profiles!$B$8*IF(H65="",F65,H65)+Profiles!$B$10*IF(I65="",F65,I65))+Profiles!$C$3*G65)/1000000+Profiles!$D$3*IF(J65="",0,J65)</f>
        <v/>
      </c>
      <c r="L65" s="10">
        <f>(Profiles!$B$4*(Profiles!$B$9*F65+Profiles!$B$8*IF(H65="",F65,H65)+Profiles!$B$10*IF(I65="",F65,I65))+Profiles!$C$4*G65)/1000000+Profiles!$D$4*IF(J65="",0,J65)</f>
        <v/>
      </c>
      <c r="M65" s="10">
        <f>(Profiles!$B$5*(Profiles!$B$9*F65+Profiles!$B$8*IF(H65="",F65,H65)+Profiles!$B$10*IF(I65="",F65,I65))+Profiles!$C$5*G65)/1000000+Profiles!$D$5*IF(J65="",0,J65)</f>
        <v/>
      </c>
      <c r="N65" s="10">
        <f>K65+L65+M65</f>
        <v/>
      </c>
      <c r="O65" s="10">
        <f>3*N65</f>
        <v/>
      </c>
    </row>
    <row r="66">
      <c r="A66" t="n">
        <v>65</v>
      </c>
      <c r="B66" t="inlineStr">
        <is>
          <t>openai/gpt-5.5</t>
        </is>
      </c>
      <c r="C66" t="inlineStr">
        <is>
          <t>2026-04-24</t>
        </is>
      </c>
      <c r="D66" t="inlineStr"/>
      <c r="E66" t="inlineStr"/>
      <c r="F66" s="9" t="n">
        <v>5</v>
      </c>
      <c r="G66" s="9" t="n">
        <v>30</v>
      </c>
      <c r="H66" s="9" t="n">
        <v>0.5</v>
      </c>
      <c r="I66" s="9" t="n"/>
      <c r="J66" s="9" t="n"/>
      <c r="K66" s="10">
        <f>(Profiles!$B$3*(Profiles!$B$9*F66+Profiles!$B$8*IF(H66="",F66,H66)+Profiles!$B$10*IF(I66="",F66,I66))+Profiles!$C$3*G66)/1000000+Profiles!$D$3*IF(J66="",0,J66)</f>
        <v/>
      </c>
      <c r="L66" s="10">
        <f>(Profiles!$B$4*(Profiles!$B$9*F66+Profiles!$B$8*IF(H66="",F66,H66)+Profiles!$B$10*IF(I66="",F66,I66))+Profiles!$C$4*G66)/1000000+Profiles!$D$4*IF(J66="",0,J66)</f>
        <v/>
      </c>
      <c r="M66" s="10">
        <f>(Profiles!$B$5*(Profiles!$B$9*F66+Profiles!$B$8*IF(H66="",F66,H66)+Profiles!$B$10*IF(I66="",F66,I66))+Profiles!$C$5*G66)/1000000+Profiles!$D$5*IF(J66="",0,J66)</f>
        <v/>
      </c>
      <c r="N66" s="10">
        <f>K66+L66+M66</f>
        <v/>
      </c>
      <c r="O66" s="10">
        <f>3*N66</f>
        <v/>
      </c>
    </row>
    <row r="67">
      <c r="A67" t="n">
        <v>66</v>
      </c>
      <c r="B67" t="inlineStr">
        <is>
          <t>xiaomi/mimo-v2.5</t>
        </is>
      </c>
      <c r="C67" t="inlineStr">
        <is>
          <t>2026-04-22</t>
        </is>
      </c>
      <c r="D67" t="inlineStr"/>
      <c r="E67" t="inlineStr"/>
      <c r="F67" s="9" t="n">
        <v>0.14</v>
      </c>
      <c r="G67" s="9" t="n">
        <v>0.28</v>
      </c>
      <c r="H67" s="9" t="n">
        <v>0.0028</v>
      </c>
      <c r="I67" s="9" t="n"/>
      <c r="J67" s="9" t="n"/>
      <c r="K67" s="10">
        <f>(Profiles!$B$3*(Profiles!$B$9*F67+Profiles!$B$8*IF(H67="",F67,H67)+Profiles!$B$10*IF(I67="",F67,I67))+Profiles!$C$3*G67)/1000000+Profiles!$D$3*IF(J67="",0,J67)</f>
        <v/>
      </c>
      <c r="L67" s="10">
        <f>(Profiles!$B$4*(Profiles!$B$9*F67+Profiles!$B$8*IF(H67="",F67,H67)+Profiles!$B$10*IF(I67="",F67,I67))+Profiles!$C$4*G67)/1000000+Profiles!$D$4*IF(J67="",0,J67)</f>
        <v/>
      </c>
      <c r="M67" s="10">
        <f>(Profiles!$B$5*(Profiles!$B$9*F67+Profiles!$B$8*IF(H67="",F67,H67)+Profiles!$B$10*IF(I67="",F67,I67))+Profiles!$C$5*G67)/1000000+Profiles!$D$5*IF(J67="",0,J67)</f>
        <v/>
      </c>
      <c r="N67" s="10">
        <f>K67+L67+M67</f>
        <v/>
      </c>
      <c r="O67" s="10">
        <f>3*N67</f>
        <v/>
      </c>
    </row>
    <row r="68">
      <c r="A68" t="n">
        <v>67</v>
      </c>
      <c r="B68" t="inlineStr">
        <is>
          <t>moonshotai/kimi-k2.6</t>
        </is>
      </c>
      <c r="C68" t="inlineStr">
        <is>
          <t>2026-04-20</t>
        </is>
      </c>
      <c r="D68" t="inlineStr"/>
      <c r="E68" t="inlineStr"/>
      <c r="F68" s="9" t="n">
        <v>0.65</v>
      </c>
      <c r="G68" s="9" t="n">
        <v>3.41</v>
      </c>
      <c r="H68" s="9" t="n">
        <v>0.15</v>
      </c>
      <c r="I68" s="9" t="n"/>
      <c r="J68" s="9" t="n"/>
      <c r="K68" s="10">
        <f>(Profiles!$B$3*(Profiles!$B$9*F68+Profiles!$B$8*IF(H68="",F68,H68)+Profiles!$B$10*IF(I68="",F68,I68))+Profiles!$C$3*G68)/1000000+Profiles!$D$3*IF(J68="",0,J68)</f>
        <v/>
      </c>
      <c r="L68" s="10">
        <f>(Profiles!$B$4*(Profiles!$B$9*F68+Profiles!$B$8*IF(H68="",F68,H68)+Profiles!$B$10*IF(I68="",F68,I68))+Profiles!$C$4*G68)/1000000+Profiles!$D$4*IF(J68="",0,J68)</f>
        <v/>
      </c>
      <c r="M68" s="10">
        <f>(Profiles!$B$5*(Profiles!$B$9*F68+Profiles!$B$8*IF(H68="",F68,H68)+Profiles!$B$10*IF(I68="",F68,I68))+Profiles!$C$5*G68)/1000000+Profiles!$D$5*IF(J68="",0,J68)</f>
        <v/>
      </c>
      <c r="N68" s="10">
        <f>K68+L68+M68</f>
        <v/>
      </c>
      <c r="O68" s="10">
        <f>3*N68</f>
        <v/>
      </c>
    </row>
    <row r="69">
      <c r="A69" t="n">
        <v>68</v>
      </c>
      <c r="B69" t="inlineStr">
        <is>
          <t>anthropic/claude-opus-4.7</t>
        </is>
      </c>
      <c r="C69" t="inlineStr">
        <is>
          <t>2026-04-16</t>
        </is>
      </c>
      <c r="D69" t="inlineStr"/>
      <c r="E69" t="inlineStr"/>
      <c r="F69" s="9" t="n">
        <v>5</v>
      </c>
      <c r="G69" s="9" t="n">
        <v>25</v>
      </c>
      <c r="H69" s="9" t="n">
        <v>0.5</v>
      </c>
      <c r="I69" s="9" t="n">
        <v>6.25</v>
      </c>
      <c r="J69" s="9" t="n"/>
      <c r="K69" s="10">
        <f>(Profiles!$B$3*(Profiles!$B$9*F69+Profiles!$B$8*IF(H69="",F69,H69)+Profiles!$B$10*IF(I69="",F69,I69))+Profiles!$C$3*G69)/1000000+Profiles!$D$3*IF(J69="",0,J69)</f>
        <v/>
      </c>
      <c r="L69" s="10">
        <f>(Profiles!$B$4*(Profiles!$B$9*F69+Profiles!$B$8*IF(H69="",F69,H69)+Profiles!$B$10*IF(I69="",F69,I69))+Profiles!$C$4*G69)/1000000+Profiles!$D$4*IF(J69="",0,J69)</f>
        <v/>
      </c>
      <c r="M69" s="10">
        <f>(Profiles!$B$5*(Profiles!$B$9*F69+Profiles!$B$8*IF(H69="",F69,H69)+Profiles!$B$10*IF(I69="",F69,I69))+Profiles!$C$5*G69)/1000000+Profiles!$D$5*IF(J69="",0,J69)</f>
        <v/>
      </c>
      <c r="N69" s="10">
        <f>K69+L69+M69</f>
        <v/>
      </c>
      <c r="O69" s="10">
        <f>3*N69</f>
        <v/>
      </c>
    </row>
    <row r="70">
      <c r="A70" t="n">
        <v>69</v>
      </c>
      <c r="B70" t="inlineStr">
        <is>
          <t>google/gemma-4-26b-a4b-it</t>
        </is>
      </c>
      <c r="C70" t="inlineStr">
        <is>
          <t>2026-04-03</t>
        </is>
      </c>
      <c r="D70" t="inlineStr"/>
      <c r="E70" t="inlineStr"/>
      <c r="F70" s="9" t="n">
        <v>0.09</v>
      </c>
      <c r="G70" s="9" t="n">
        <v>0.3</v>
      </c>
      <c r="H70" s="9" t="n">
        <v>0.05</v>
      </c>
      <c r="I70" s="9" t="n"/>
      <c r="J70" s="9" t="n"/>
      <c r="K70" s="10">
        <f>(Profiles!$B$3*(Profiles!$B$9*F70+Profiles!$B$8*IF(H70="",F70,H70)+Profiles!$B$10*IF(I70="",F70,I70))+Profiles!$C$3*G70)/1000000+Profiles!$D$3*IF(J70="",0,J70)</f>
        <v/>
      </c>
      <c r="L70" s="10">
        <f>(Profiles!$B$4*(Profiles!$B$9*F70+Profiles!$B$8*IF(H70="",F70,H70)+Profiles!$B$10*IF(I70="",F70,I70))+Profiles!$C$4*G70)/1000000+Profiles!$D$4*IF(J70="",0,J70)</f>
        <v/>
      </c>
      <c r="M70" s="10">
        <f>(Profiles!$B$5*(Profiles!$B$9*F70+Profiles!$B$8*IF(H70="",F70,H70)+Profiles!$B$10*IF(I70="",F70,I70))+Profiles!$C$5*G70)/1000000+Profiles!$D$5*IF(J70="",0,J70)</f>
        <v/>
      </c>
      <c r="N70" s="10">
        <f>K70+L70+M70</f>
        <v/>
      </c>
      <c r="O70" s="10">
        <f>3*N70</f>
        <v/>
      </c>
    </row>
    <row r="71">
      <c r="A71" t="n">
        <v>70</v>
      </c>
      <c r="B71" t="inlineStr">
        <is>
          <t>google/gemma-4-31b-it</t>
        </is>
      </c>
      <c r="C71" t="inlineStr">
        <is>
          <t>2026-04-02</t>
        </is>
      </c>
      <c r="D71" t="inlineStr"/>
      <c r="E71" t="inlineStr"/>
      <c r="F71" s="9" t="n">
        <v>0.09</v>
      </c>
      <c r="G71" s="9" t="n">
        <v>0.34</v>
      </c>
      <c r="H71" s="9" t="n">
        <v>0.05</v>
      </c>
      <c r="I71" s="9" t="n"/>
      <c r="J71" s="9" t="n"/>
      <c r="K71" s="10">
        <f>(Profiles!$B$3*(Profiles!$B$9*F71+Profiles!$B$8*IF(H71="",F71,H71)+Profiles!$B$10*IF(I71="",F71,I71))+Profiles!$C$3*G71)/1000000+Profiles!$D$3*IF(J71="",0,J71)</f>
        <v/>
      </c>
      <c r="L71" s="10">
        <f>(Profiles!$B$4*(Profiles!$B$9*F71+Profiles!$B$8*IF(H71="",F71,H71)+Profiles!$B$10*IF(I71="",F71,I71))+Profiles!$C$4*G71)/1000000+Profiles!$D$4*IF(J71="",0,J71)</f>
        <v/>
      </c>
      <c r="M71" s="10">
        <f>(Profiles!$B$5*(Profiles!$B$9*F71+Profiles!$B$8*IF(H71="",F71,H71)+Profiles!$B$10*IF(I71="",F71,I71))+Profiles!$C$5*G71)/1000000+Profiles!$D$5*IF(J71="",0,J71)</f>
        <v/>
      </c>
      <c r="N71" s="10">
        <f>K71+L71+M71</f>
        <v/>
      </c>
      <c r="O71" s="10">
        <f>3*N71</f>
        <v/>
      </c>
    </row>
    <row r="72">
      <c r="A72" t="n">
        <v>71</v>
      </c>
      <c r="B72" t="inlineStr">
        <is>
          <t>qwen/qwen3.6-plus</t>
        </is>
      </c>
      <c r="C72" t="inlineStr">
        <is>
          <t>2026-04-02</t>
        </is>
      </c>
      <c r="D72" t="inlineStr"/>
      <c r="E72" t="inlineStr"/>
      <c r="F72" s="9" t="n">
        <v>0.325</v>
      </c>
      <c r="G72" s="9" t="n">
        <v>1.95</v>
      </c>
      <c r="H72" s="9" t="n"/>
      <c r="I72" s="9" t="n">
        <v>0.40625</v>
      </c>
      <c r="J72" s="9" t="n"/>
      <c r="K72" s="10">
        <f>(Profiles!$B$3*(Profiles!$B$9*F72+Profiles!$B$8*IF(H72="",F72,H72)+Profiles!$B$10*IF(I72="",F72,I72))+Profiles!$C$3*G72)/1000000+Profiles!$D$3*IF(J72="",0,J72)</f>
        <v/>
      </c>
      <c r="L72" s="10">
        <f>(Profiles!$B$4*(Profiles!$B$9*F72+Profiles!$B$8*IF(H72="",F72,H72)+Profiles!$B$10*IF(I72="",F72,I72))+Profiles!$C$4*G72)/1000000+Profiles!$D$4*IF(J72="",0,J72)</f>
        <v/>
      </c>
      <c r="M72" s="10">
        <f>(Profiles!$B$5*(Profiles!$B$9*F72+Profiles!$B$8*IF(H72="",F72,H72)+Profiles!$B$10*IF(I72="",F72,I72))+Profiles!$C$5*G72)/1000000+Profiles!$D$5*IF(J72="",0,J72)</f>
        <v/>
      </c>
      <c r="N72" s="10">
        <f>K72+L72+M72</f>
        <v/>
      </c>
      <c r="O72" s="10">
        <f>3*N72</f>
        <v/>
      </c>
    </row>
    <row r="73">
      <c r="A73" t="n">
        <v>72</v>
      </c>
      <c r="B73" t="inlineStr">
        <is>
          <t>z-ai/glm-5v-turbo</t>
        </is>
      </c>
      <c r="C73" t="inlineStr">
        <is>
          <t>2026-04-01</t>
        </is>
      </c>
      <c r="D73" t="inlineStr"/>
      <c r="E73" t="inlineStr"/>
      <c r="F73" s="9" t="n">
        <v>1.2</v>
      </c>
      <c r="G73" s="9" t="n">
        <v>4</v>
      </c>
      <c r="H73" s="9" t="n">
        <v>0.24</v>
      </c>
      <c r="I73" s="9" t="n"/>
      <c r="J73" s="9" t="n"/>
      <c r="K73" s="10">
        <f>(Profiles!$B$3*(Profiles!$B$9*F73+Profiles!$B$8*IF(H73="",F73,H73)+Profiles!$B$10*IF(I73="",F73,I73))+Profiles!$C$3*G73)/1000000+Profiles!$D$3*IF(J73="",0,J73)</f>
        <v/>
      </c>
      <c r="L73" s="10">
        <f>(Profiles!$B$4*(Profiles!$B$9*F73+Profiles!$B$8*IF(H73="",F73,H73)+Profiles!$B$10*IF(I73="",F73,I73))+Profiles!$C$4*G73)/1000000+Profiles!$D$4*IF(J73="",0,J73)</f>
        <v/>
      </c>
      <c r="M73" s="10">
        <f>(Profiles!$B$5*(Profiles!$B$9*F73+Profiles!$B$8*IF(H73="",F73,H73)+Profiles!$B$10*IF(I73="",F73,I73))+Profiles!$C$5*G73)/1000000+Profiles!$D$5*IF(J73="",0,J73)</f>
        <v/>
      </c>
      <c r="N73" s="10">
        <f>K73+L73+M73</f>
        <v/>
      </c>
      <c r="O73" s="10">
        <f>3*N73</f>
        <v/>
      </c>
    </row>
    <row r="74">
      <c r="A74" t="n">
        <v>73</v>
      </c>
      <c r="B74" t="inlineStr">
        <is>
          <t>x-ai/grok-4.20</t>
        </is>
      </c>
      <c r="C74" t="inlineStr">
        <is>
          <t>2026-03-31</t>
        </is>
      </c>
      <c r="D74" t="inlineStr"/>
      <c r="E74" t="inlineStr"/>
      <c r="F74" s="9" t="n">
        <v>1.25</v>
      </c>
      <c r="G74" s="9" t="n">
        <v>2.5</v>
      </c>
      <c r="H74" s="9" t="n">
        <v>0.2</v>
      </c>
      <c r="I74" s="9" t="n"/>
      <c r="J74" s="9" t="n"/>
      <c r="K74" s="10">
        <f>(Profiles!$B$3*(Profiles!$B$9*F74+Profiles!$B$8*IF(H74="",F74,H74)+Profiles!$B$10*IF(I74="",F74,I74))+Profiles!$C$3*G74)/1000000+Profiles!$D$3*IF(J74="",0,J74)</f>
        <v/>
      </c>
      <c r="L74" s="10">
        <f>(Profiles!$B$4*(Profiles!$B$9*F74+Profiles!$B$8*IF(H74="",F74,H74)+Profiles!$B$10*IF(I74="",F74,I74))+Profiles!$C$4*G74)/1000000+Profiles!$D$4*IF(J74="",0,J74)</f>
        <v/>
      </c>
      <c r="M74" s="10">
        <f>(Profiles!$B$5*(Profiles!$B$9*F74+Profiles!$B$8*IF(H74="",F74,H74)+Profiles!$B$10*IF(I74="",F74,I74))+Profiles!$C$5*G74)/1000000+Profiles!$D$5*IF(J74="",0,J74)</f>
        <v/>
      </c>
      <c r="N74" s="10">
        <f>K74+L74+M74</f>
        <v/>
      </c>
      <c r="O74" s="10">
        <f>3*N74</f>
        <v/>
      </c>
    </row>
    <row r="75">
      <c r="A75" t="n">
        <v>74</v>
      </c>
      <c r="B75" t="inlineStr">
        <is>
          <t>rekaai/reka-edge</t>
        </is>
      </c>
      <c r="C75" t="inlineStr">
        <is>
          <t>2026-03-20</t>
        </is>
      </c>
      <c r="D75" t="inlineStr"/>
      <c r="E75" t="inlineStr"/>
      <c r="F75" s="9" t="n">
        <v>0.09999999999999999</v>
      </c>
      <c r="G75" s="9" t="n">
        <v>0.09999999999999999</v>
      </c>
      <c r="H75" s="9" t="n"/>
      <c r="I75" s="9" t="n"/>
      <c r="J75" s="9" t="n"/>
      <c r="K75" s="10">
        <f>(Profiles!$B$3*(Profiles!$B$9*F75+Profiles!$B$8*IF(H75="",F75,H75)+Profiles!$B$10*IF(I75="",F75,I75))+Profiles!$C$3*G75)/1000000+Profiles!$D$3*IF(J75="",0,J75)</f>
        <v/>
      </c>
      <c r="L75" s="10">
        <f>(Profiles!$B$4*(Profiles!$B$9*F75+Profiles!$B$8*IF(H75="",F75,H75)+Profiles!$B$10*IF(I75="",F75,I75))+Profiles!$C$4*G75)/1000000+Profiles!$D$4*IF(J75="",0,J75)</f>
        <v/>
      </c>
      <c r="M75" s="10">
        <f>(Profiles!$B$5*(Profiles!$B$9*F75+Profiles!$B$8*IF(H75="",F75,H75)+Profiles!$B$10*IF(I75="",F75,I75))+Profiles!$C$5*G75)/1000000+Profiles!$D$5*IF(J75="",0,J75)</f>
        <v/>
      </c>
      <c r="N75" s="10">
        <f>K75+L75+M75</f>
        <v/>
      </c>
      <c r="O75" s="10">
        <f>3*N75</f>
        <v/>
      </c>
    </row>
    <row r="76">
      <c r="A76" t="n">
        <v>75</v>
      </c>
      <c r="B76" t="inlineStr">
        <is>
          <t>openai/gpt-5.4-nano</t>
        </is>
      </c>
      <c r="C76" t="inlineStr">
        <is>
          <t>2026-03-17</t>
        </is>
      </c>
      <c r="D76" t="inlineStr"/>
      <c r="E76" t="inlineStr"/>
      <c r="F76" s="9" t="n">
        <v>0.2</v>
      </c>
      <c r="G76" s="9" t="n">
        <v>1.25</v>
      </c>
      <c r="H76" s="9" t="n">
        <v>0.02</v>
      </c>
      <c r="I76" s="9" t="n"/>
      <c r="J76" s="9" t="n"/>
      <c r="K76" s="10">
        <f>(Profiles!$B$3*(Profiles!$B$9*F76+Profiles!$B$8*IF(H76="",F76,H76)+Profiles!$B$10*IF(I76="",F76,I76))+Profiles!$C$3*G76)/1000000+Profiles!$D$3*IF(J76="",0,J76)</f>
        <v/>
      </c>
      <c r="L76" s="10">
        <f>(Profiles!$B$4*(Profiles!$B$9*F76+Profiles!$B$8*IF(H76="",F76,H76)+Profiles!$B$10*IF(I76="",F76,I76))+Profiles!$C$4*G76)/1000000+Profiles!$D$4*IF(J76="",0,J76)</f>
        <v/>
      </c>
      <c r="M76" s="10">
        <f>(Profiles!$B$5*(Profiles!$B$9*F76+Profiles!$B$8*IF(H76="",F76,H76)+Profiles!$B$10*IF(I76="",F76,I76))+Profiles!$C$5*G76)/1000000+Profiles!$D$5*IF(J76="",0,J76)</f>
        <v/>
      </c>
      <c r="N76" s="10">
        <f>K76+L76+M76</f>
        <v/>
      </c>
      <c r="O76" s="10">
        <f>3*N76</f>
        <v/>
      </c>
    </row>
    <row r="77">
      <c r="A77" t="n">
        <v>76</v>
      </c>
      <c r="B77" t="inlineStr">
        <is>
          <t>openai/gpt-5.4-mini</t>
        </is>
      </c>
      <c r="C77" t="inlineStr">
        <is>
          <t>2026-03-17</t>
        </is>
      </c>
      <c r="D77" t="inlineStr"/>
      <c r="E77" t="inlineStr"/>
      <c r="F77" s="9" t="n">
        <v>0.75</v>
      </c>
      <c r="G77" s="9" t="n">
        <v>4.5</v>
      </c>
      <c r="H77" s="9" t="n">
        <v>0.075</v>
      </c>
      <c r="I77" s="9" t="n"/>
      <c r="J77" s="9" t="n"/>
      <c r="K77" s="10">
        <f>(Profiles!$B$3*(Profiles!$B$9*F77+Profiles!$B$8*IF(H77="",F77,H77)+Profiles!$B$10*IF(I77="",F77,I77))+Profiles!$C$3*G77)/1000000+Profiles!$D$3*IF(J77="",0,J77)</f>
        <v/>
      </c>
      <c r="L77" s="10">
        <f>(Profiles!$B$4*(Profiles!$B$9*F77+Profiles!$B$8*IF(H77="",F77,H77)+Profiles!$B$10*IF(I77="",F77,I77))+Profiles!$C$4*G77)/1000000+Profiles!$D$4*IF(J77="",0,J77)</f>
        <v/>
      </c>
      <c r="M77" s="10">
        <f>(Profiles!$B$5*(Profiles!$B$9*F77+Profiles!$B$8*IF(H77="",F77,H77)+Profiles!$B$10*IF(I77="",F77,I77))+Profiles!$C$5*G77)/1000000+Profiles!$D$5*IF(J77="",0,J77)</f>
        <v/>
      </c>
      <c r="N77" s="10">
        <f>K77+L77+M77</f>
        <v/>
      </c>
      <c r="O77" s="10">
        <f>3*N77</f>
        <v/>
      </c>
    </row>
    <row r="78">
      <c r="A78" t="n">
        <v>77</v>
      </c>
      <c r="B78" t="inlineStr">
        <is>
          <t>mistralai/mistral-small-2603</t>
        </is>
      </c>
      <c r="C78" t="inlineStr">
        <is>
          <t>2026-03-16</t>
        </is>
      </c>
      <c r="D78" t="inlineStr"/>
      <c r="E78" t="inlineStr"/>
      <c r="F78" s="9" t="n">
        <v>0.15</v>
      </c>
      <c r="G78" s="9" t="n">
        <v>0.6</v>
      </c>
      <c r="H78" s="9" t="n">
        <v>0.015</v>
      </c>
      <c r="I78" s="9" t="n"/>
      <c r="J78" s="9" t="n"/>
      <c r="K78" s="10">
        <f>(Profiles!$B$3*(Profiles!$B$9*F78+Profiles!$B$8*IF(H78="",F78,H78)+Profiles!$B$10*IF(I78="",F78,I78))+Profiles!$C$3*G78)/1000000+Profiles!$D$3*IF(J78="",0,J78)</f>
        <v/>
      </c>
      <c r="L78" s="10">
        <f>(Profiles!$B$4*(Profiles!$B$9*F78+Profiles!$B$8*IF(H78="",F78,H78)+Profiles!$B$10*IF(I78="",F78,I78))+Profiles!$C$4*G78)/1000000+Profiles!$D$4*IF(J78="",0,J78)</f>
        <v/>
      </c>
      <c r="M78" s="10">
        <f>(Profiles!$B$5*(Profiles!$B$9*F78+Profiles!$B$8*IF(H78="",F78,H78)+Profiles!$B$10*IF(I78="",F78,I78))+Profiles!$C$5*G78)/1000000+Profiles!$D$5*IF(J78="",0,J78)</f>
        <v/>
      </c>
      <c r="N78" s="10">
        <f>K78+L78+M78</f>
        <v/>
      </c>
      <c r="O78" s="10">
        <f>3*N78</f>
        <v/>
      </c>
    </row>
    <row r="79">
      <c r="A79" t="n">
        <v>78</v>
      </c>
      <c r="B79" t="inlineStr">
        <is>
          <t>bytedance-seed/seed-2.0-lite</t>
        </is>
      </c>
      <c r="C79" t="inlineStr">
        <is>
          <t>2026-03-10</t>
        </is>
      </c>
      <c r="D79" t="inlineStr"/>
      <c r="E79" t="inlineStr"/>
      <c r="F79" s="9" t="n">
        <v>0.25</v>
      </c>
      <c r="G79" s="9" t="n">
        <v>2</v>
      </c>
      <c r="H79" s="9" t="n"/>
      <c r="I79" s="9" t="n"/>
      <c r="J79" s="9" t="n"/>
      <c r="K79" s="10">
        <f>(Profiles!$B$3*(Profiles!$B$9*F79+Profiles!$B$8*IF(H79="",F79,H79)+Profiles!$B$10*IF(I79="",F79,I79))+Profiles!$C$3*G79)/1000000+Profiles!$D$3*IF(J79="",0,J79)</f>
        <v/>
      </c>
      <c r="L79" s="10">
        <f>(Profiles!$B$4*(Profiles!$B$9*F79+Profiles!$B$8*IF(H79="",F79,H79)+Profiles!$B$10*IF(I79="",F79,I79))+Profiles!$C$4*G79)/1000000+Profiles!$D$4*IF(J79="",0,J79)</f>
        <v/>
      </c>
      <c r="M79" s="10">
        <f>(Profiles!$B$5*(Profiles!$B$9*F79+Profiles!$B$8*IF(H79="",F79,H79)+Profiles!$B$10*IF(I79="",F79,I79))+Profiles!$C$5*G79)/1000000+Profiles!$D$5*IF(J79="",0,J79)</f>
        <v/>
      </c>
      <c r="N79" s="10">
        <f>K79+L79+M79</f>
        <v/>
      </c>
      <c r="O79" s="10">
        <f>3*N79</f>
        <v/>
      </c>
    </row>
    <row r="80">
      <c r="A80" t="n">
        <v>79</v>
      </c>
      <c r="B80" t="inlineStr">
        <is>
          <t>qwen/qwen3.5-9b</t>
        </is>
      </c>
      <c r="C80" t="inlineStr">
        <is>
          <t>2026-03-10</t>
        </is>
      </c>
      <c r="D80" t="inlineStr"/>
      <c r="E80" t="inlineStr"/>
      <c r="F80" s="9" t="n">
        <v>0.09999999999999999</v>
      </c>
      <c r="G80" s="9" t="n">
        <v>0.15</v>
      </c>
      <c r="H80" s="9" t="n"/>
      <c r="I80" s="9" t="n"/>
      <c r="J80" s="9" t="n"/>
      <c r="K80" s="10">
        <f>(Profiles!$B$3*(Profiles!$B$9*F80+Profiles!$B$8*IF(H80="",F80,H80)+Profiles!$B$10*IF(I80="",F80,I80))+Profiles!$C$3*G80)/1000000+Profiles!$D$3*IF(J80="",0,J80)</f>
        <v/>
      </c>
      <c r="L80" s="10">
        <f>(Profiles!$B$4*(Profiles!$B$9*F80+Profiles!$B$8*IF(H80="",F80,H80)+Profiles!$B$10*IF(I80="",F80,I80))+Profiles!$C$4*G80)/1000000+Profiles!$D$4*IF(J80="",0,J80)</f>
        <v/>
      </c>
      <c r="M80" s="10">
        <f>(Profiles!$B$5*(Profiles!$B$9*F80+Profiles!$B$8*IF(H80="",F80,H80)+Profiles!$B$10*IF(I80="",F80,I80))+Profiles!$C$5*G80)/1000000+Profiles!$D$5*IF(J80="",0,J80)</f>
        <v/>
      </c>
      <c r="N80" s="10">
        <f>K80+L80+M80</f>
        <v/>
      </c>
      <c r="O80" s="10">
        <f>3*N80</f>
        <v/>
      </c>
    </row>
    <row r="81">
      <c r="A81" t="n">
        <v>80</v>
      </c>
      <c r="B81" t="inlineStr">
        <is>
          <t>openai/gpt-5.4</t>
        </is>
      </c>
      <c r="C81" t="inlineStr">
        <is>
          <t>2026-03-05</t>
        </is>
      </c>
      <c r="D81" t="inlineStr"/>
      <c r="E81" t="inlineStr"/>
      <c r="F81" s="9" t="n">
        <v>2.5</v>
      </c>
      <c r="G81" s="9" t="n">
        <v>15</v>
      </c>
      <c r="H81" s="9" t="n">
        <v>0.25</v>
      </c>
      <c r="I81" s="9" t="n"/>
      <c r="J81" s="9" t="n"/>
      <c r="K81" s="10">
        <f>(Profiles!$B$3*(Profiles!$B$9*F81+Profiles!$B$8*IF(H81="",F81,H81)+Profiles!$B$10*IF(I81="",F81,I81))+Profiles!$C$3*G81)/1000000+Profiles!$D$3*IF(J81="",0,J81)</f>
        <v/>
      </c>
      <c r="L81" s="10">
        <f>(Profiles!$B$4*(Profiles!$B$9*F81+Profiles!$B$8*IF(H81="",F81,H81)+Profiles!$B$10*IF(I81="",F81,I81))+Profiles!$C$4*G81)/1000000+Profiles!$D$4*IF(J81="",0,J81)</f>
        <v/>
      </c>
      <c r="M81" s="10">
        <f>(Profiles!$B$5*(Profiles!$B$9*F81+Profiles!$B$8*IF(H81="",F81,H81)+Profiles!$B$10*IF(I81="",F81,I81))+Profiles!$C$5*G81)/1000000+Profiles!$D$5*IF(J81="",0,J81)</f>
        <v/>
      </c>
      <c r="N81" s="10">
        <f>K81+L81+M81</f>
        <v/>
      </c>
      <c r="O81" s="10">
        <f>3*N81</f>
        <v/>
      </c>
    </row>
    <row r="82">
      <c r="A82" t="n">
        <v>81</v>
      </c>
      <c r="B82" t="inlineStr">
        <is>
          <t>google/gemini-3.1-flash-lite-preview</t>
        </is>
      </c>
      <c r="C82" t="inlineStr">
        <is>
          <t>2026-03-03</t>
        </is>
      </c>
      <c r="D82" t="inlineStr"/>
      <c r="E82" t="inlineStr"/>
      <c r="F82" s="9" t="n">
        <v>0.25</v>
      </c>
      <c r="G82" s="9" t="n">
        <v>1.5</v>
      </c>
      <c r="H82" s="9" t="n">
        <v>0.025</v>
      </c>
      <c r="I82" s="9" t="n">
        <v>0.0833333333333333</v>
      </c>
      <c r="J82" s="9" t="n">
        <v>2.5e-07</v>
      </c>
      <c r="K82" s="10">
        <f>(Profiles!$B$3*(Profiles!$B$9*F82+Profiles!$B$8*IF(H82="",F82,H82)+Profiles!$B$10*IF(I82="",F82,I82))+Profiles!$C$3*G82)/1000000+Profiles!$D$3*IF(J82="",0,J82)</f>
        <v/>
      </c>
      <c r="L82" s="10">
        <f>(Profiles!$B$4*(Profiles!$B$9*F82+Profiles!$B$8*IF(H82="",F82,H82)+Profiles!$B$10*IF(I82="",F82,I82))+Profiles!$C$4*G82)/1000000+Profiles!$D$4*IF(J82="",0,J82)</f>
        <v/>
      </c>
      <c r="M82" s="10">
        <f>(Profiles!$B$5*(Profiles!$B$9*F82+Profiles!$B$8*IF(H82="",F82,H82)+Profiles!$B$10*IF(I82="",F82,I82))+Profiles!$C$5*G82)/1000000+Profiles!$D$5*IF(J82="",0,J82)</f>
        <v/>
      </c>
      <c r="N82" s="10">
        <f>K82+L82+M82</f>
        <v/>
      </c>
      <c r="O82" s="10">
        <f>3*N82</f>
        <v/>
      </c>
    </row>
    <row r="83">
      <c r="A83" t="n">
        <v>82</v>
      </c>
      <c r="B83" t="inlineStr">
        <is>
          <t>bytedance-seed/seed-2.0-mini</t>
        </is>
      </c>
      <c r="C83" t="inlineStr">
        <is>
          <t>2026-02-26</t>
        </is>
      </c>
      <c r="D83" t="inlineStr"/>
      <c r="E83" t="inlineStr"/>
      <c r="F83" s="9" t="n">
        <v>0.09999999999999999</v>
      </c>
      <c r="G83" s="9" t="n">
        <v>0.4</v>
      </c>
      <c r="H83" s="9" t="n"/>
      <c r="I83" s="9" t="n"/>
      <c r="J83" s="9" t="n"/>
      <c r="K83" s="10">
        <f>(Profiles!$B$3*(Profiles!$B$9*F83+Profiles!$B$8*IF(H83="",F83,H83)+Profiles!$B$10*IF(I83="",F83,I83))+Profiles!$C$3*G83)/1000000+Profiles!$D$3*IF(J83="",0,J83)</f>
        <v/>
      </c>
      <c r="L83" s="10">
        <f>(Profiles!$B$4*(Profiles!$B$9*F83+Profiles!$B$8*IF(H83="",F83,H83)+Profiles!$B$10*IF(I83="",F83,I83))+Profiles!$C$4*G83)/1000000+Profiles!$D$4*IF(J83="",0,J83)</f>
        <v/>
      </c>
      <c r="M83" s="10">
        <f>(Profiles!$B$5*(Profiles!$B$9*F83+Profiles!$B$8*IF(H83="",F83,H83)+Profiles!$B$10*IF(I83="",F83,I83))+Profiles!$C$5*G83)/1000000+Profiles!$D$5*IF(J83="",0,J83)</f>
        <v/>
      </c>
      <c r="N83" s="10">
        <f>K83+L83+M83</f>
        <v/>
      </c>
      <c r="O83" s="10">
        <f>3*N83</f>
        <v/>
      </c>
    </row>
    <row r="84">
      <c r="A84" t="n">
        <v>83</v>
      </c>
      <c r="B84" t="inlineStr">
        <is>
          <t>qwen/qwen3.5-35b-a3b</t>
        </is>
      </c>
      <c r="C84" t="inlineStr">
        <is>
          <t>2026-02-25</t>
        </is>
      </c>
      <c r="D84" t="inlineStr"/>
      <c r="E84" t="inlineStr"/>
      <c r="F84" s="9" t="n">
        <v>0.1625</v>
      </c>
      <c r="G84" s="9" t="n">
        <v>1.3</v>
      </c>
      <c r="H84" s="9" t="n"/>
      <c r="I84" s="9" t="n"/>
      <c r="J84" s="9" t="n"/>
      <c r="K84" s="10">
        <f>(Profiles!$B$3*(Profiles!$B$9*F84+Profiles!$B$8*IF(H84="",F84,H84)+Profiles!$B$10*IF(I84="",F84,I84))+Profiles!$C$3*G84)/1000000+Profiles!$D$3*IF(J84="",0,J84)</f>
        <v/>
      </c>
      <c r="L84" s="10">
        <f>(Profiles!$B$4*(Profiles!$B$9*F84+Profiles!$B$8*IF(H84="",F84,H84)+Profiles!$B$10*IF(I84="",F84,I84))+Profiles!$C$4*G84)/1000000+Profiles!$D$4*IF(J84="",0,J84)</f>
        <v/>
      </c>
      <c r="M84" s="10">
        <f>(Profiles!$B$5*(Profiles!$B$9*F84+Profiles!$B$8*IF(H84="",F84,H84)+Profiles!$B$10*IF(I84="",F84,I84))+Profiles!$C$5*G84)/1000000+Profiles!$D$5*IF(J84="",0,J84)</f>
        <v/>
      </c>
      <c r="N84" s="10">
        <f>K84+L84+M84</f>
        <v/>
      </c>
      <c r="O84" s="10">
        <f>3*N84</f>
        <v/>
      </c>
    </row>
    <row r="85">
      <c r="A85" t="n">
        <v>84</v>
      </c>
      <c r="B85" t="inlineStr">
        <is>
          <t>qwen/qwen3.5-27b</t>
        </is>
      </c>
      <c r="C85" t="inlineStr">
        <is>
          <t>2026-02-25</t>
        </is>
      </c>
      <c r="D85" t="inlineStr"/>
      <c r="E85" t="inlineStr"/>
      <c r="F85" s="9" t="n">
        <v>0.195</v>
      </c>
      <c r="G85" s="9" t="n">
        <v>1.56</v>
      </c>
      <c r="H85" s="9" t="n"/>
      <c r="I85" s="9" t="n"/>
      <c r="J85" s="9" t="n"/>
      <c r="K85" s="10">
        <f>(Profiles!$B$3*(Profiles!$B$9*F85+Profiles!$B$8*IF(H85="",F85,H85)+Profiles!$B$10*IF(I85="",F85,I85))+Profiles!$C$3*G85)/1000000+Profiles!$D$3*IF(J85="",0,J85)</f>
        <v/>
      </c>
      <c r="L85" s="10">
        <f>(Profiles!$B$4*(Profiles!$B$9*F85+Profiles!$B$8*IF(H85="",F85,H85)+Profiles!$B$10*IF(I85="",F85,I85))+Profiles!$C$4*G85)/1000000+Profiles!$D$4*IF(J85="",0,J85)</f>
        <v/>
      </c>
      <c r="M85" s="10">
        <f>(Profiles!$B$5*(Profiles!$B$9*F85+Profiles!$B$8*IF(H85="",F85,H85)+Profiles!$B$10*IF(I85="",F85,I85))+Profiles!$C$5*G85)/1000000+Profiles!$D$5*IF(J85="",0,J85)</f>
        <v/>
      </c>
      <c r="N85" s="10">
        <f>K85+L85+M85</f>
        <v/>
      </c>
      <c r="O85" s="10">
        <f>3*N85</f>
        <v/>
      </c>
    </row>
    <row r="86">
      <c r="A86" t="n">
        <v>85</v>
      </c>
      <c r="B86" t="inlineStr">
        <is>
          <t>qwen/qwen3.5-122b-a10b</t>
        </is>
      </c>
      <c r="C86" t="inlineStr">
        <is>
          <t>2026-02-25</t>
        </is>
      </c>
      <c r="D86" t="inlineStr"/>
      <c r="E86" t="inlineStr"/>
      <c r="F86" s="9" t="n">
        <v>0.26</v>
      </c>
      <c r="G86" s="9" t="n">
        <v>2.08</v>
      </c>
      <c r="H86" s="9" t="n"/>
      <c r="I86" s="9" t="n"/>
      <c r="J86" s="9" t="n"/>
      <c r="K86" s="10">
        <f>(Profiles!$B$3*(Profiles!$B$9*F86+Profiles!$B$8*IF(H86="",F86,H86)+Profiles!$B$10*IF(I86="",F86,I86))+Profiles!$C$3*G86)/1000000+Profiles!$D$3*IF(J86="",0,J86)</f>
        <v/>
      </c>
      <c r="L86" s="10">
        <f>(Profiles!$B$4*(Profiles!$B$9*F86+Profiles!$B$8*IF(H86="",F86,H86)+Profiles!$B$10*IF(I86="",F86,I86))+Profiles!$C$4*G86)/1000000+Profiles!$D$4*IF(J86="",0,J86)</f>
        <v/>
      </c>
      <c r="M86" s="10">
        <f>(Profiles!$B$5*(Profiles!$B$9*F86+Profiles!$B$8*IF(H86="",F86,H86)+Profiles!$B$10*IF(I86="",F86,I86))+Profiles!$C$5*G86)/1000000+Profiles!$D$5*IF(J86="",0,J86)</f>
        <v/>
      </c>
      <c r="N86" s="10">
        <f>K86+L86+M86</f>
        <v/>
      </c>
      <c r="O86" s="10">
        <f>3*N86</f>
        <v/>
      </c>
    </row>
    <row r="87">
      <c r="A87" t="n">
        <v>86</v>
      </c>
      <c r="B87" t="inlineStr">
        <is>
          <t>qwen/qwen3.5-flash-02-23</t>
        </is>
      </c>
      <c r="C87" t="inlineStr">
        <is>
          <t>2026-02-25</t>
        </is>
      </c>
      <c r="D87" t="inlineStr"/>
      <c r="E87" t="inlineStr"/>
      <c r="F87" s="9" t="n">
        <v>0.065</v>
      </c>
      <c r="G87" s="9" t="n">
        <v>0.26</v>
      </c>
      <c r="H87" s="9" t="n"/>
      <c r="I87" s="9" t="n"/>
      <c r="J87" s="9" t="n"/>
      <c r="K87" s="10">
        <f>(Profiles!$B$3*(Profiles!$B$9*F87+Profiles!$B$8*IF(H87="",F87,H87)+Profiles!$B$10*IF(I87="",F87,I87))+Profiles!$C$3*G87)/1000000+Profiles!$D$3*IF(J87="",0,J87)</f>
        <v/>
      </c>
      <c r="L87" s="10">
        <f>(Profiles!$B$4*(Profiles!$B$9*F87+Profiles!$B$8*IF(H87="",F87,H87)+Profiles!$B$10*IF(I87="",F87,I87))+Profiles!$C$4*G87)/1000000+Profiles!$D$4*IF(J87="",0,J87)</f>
        <v/>
      </c>
      <c r="M87" s="10">
        <f>(Profiles!$B$5*(Profiles!$B$9*F87+Profiles!$B$8*IF(H87="",F87,H87)+Profiles!$B$10*IF(I87="",F87,I87))+Profiles!$C$5*G87)/1000000+Profiles!$D$5*IF(J87="",0,J87)</f>
        <v/>
      </c>
      <c r="N87" s="10">
        <f>K87+L87+M87</f>
        <v/>
      </c>
      <c r="O87" s="10">
        <f>3*N87</f>
        <v/>
      </c>
    </row>
    <row r="88">
      <c r="A88" t="n">
        <v>87</v>
      </c>
      <c r="B88" t="inlineStr">
        <is>
          <t>google/gemini-3.1-pro-preview-customtools</t>
        </is>
      </c>
      <c r="C88" t="inlineStr">
        <is>
          <t>2026-02-25</t>
        </is>
      </c>
      <c r="D88" t="inlineStr"/>
      <c r="E88" t="inlineStr"/>
      <c r="F88" s="9" t="n">
        <v>2</v>
      </c>
      <c r="G88" s="9" t="n">
        <v>12</v>
      </c>
      <c r="H88" s="9" t="n">
        <v>0.2</v>
      </c>
      <c r="I88" s="9" t="n">
        <v>0.375</v>
      </c>
      <c r="J88" s="9" t="n">
        <v>2e-06</v>
      </c>
      <c r="K88" s="10">
        <f>(Profiles!$B$3*(Profiles!$B$9*F88+Profiles!$B$8*IF(H88="",F88,H88)+Profiles!$B$10*IF(I88="",F88,I88))+Profiles!$C$3*G88)/1000000+Profiles!$D$3*IF(J88="",0,J88)</f>
        <v/>
      </c>
      <c r="L88" s="10">
        <f>(Profiles!$B$4*(Profiles!$B$9*F88+Profiles!$B$8*IF(H88="",F88,H88)+Profiles!$B$10*IF(I88="",F88,I88))+Profiles!$C$4*G88)/1000000+Profiles!$D$4*IF(J88="",0,J88)</f>
        <v/>
      </c>
      <c r="M88" s="10">
        <f>(Profiles!$B$5*(Profiles!$B$9*F88+Profiles!$B$8*IF(H88="",F88,H88)+Profiles!$B$10*IF(I88="",F88,I88))+Profiles!$C$5*G88)/1000000+Profiles!$D$5*IF(J88="",0,J88)</f>
        <v/>
      </c>
      <c r="N88" s="10">
        <f>K88+L88+M88</f>
        <v/>
      </c>
      <c r="O88" s="10">
        <f>3*N88</f>
        <v/>
      </c>
    </row>
    <row r="89">
      <c r="A89" t="n">
        <v>88</v>
      </c>
      <c r="B89" t="inlineStr">
        <is>
          <t>openai/gpt-5.3-codex</t>
        </is>
      </c>
      <c r="C89" t="inlineStr">
        <is>
          <t>2026-02-24</t>
        </is>
      </c>
      <c r="D89" t="inlineStr"/>
      <c r="E89" t="inlineStr"/>
      <c r="F89" s="9" t="n">
        <v>1.75</v>
      </c>
      <c r="G89" s="9" t="n">
        <v>14</v>
      </c>
      <c r="H89" s="9" t="n">
        <v>0.175</v>
      </c>
      <c r="I89" s="9" t="n"/>
      <c r="J89" s="9" t="n"/>
      <c r="K89" s="10">
        <f>(Profiles!$B$3*(Profiles!$B$9*F89+Profiles!$B$8*IF(H89="",F89,H89)+Profiles!$B$10*IF(I89="",F89,I89))+Profiles!$C$3*G89)/1000000+Profiles!$D$3*IF(J89="",0,J89)</f>
        <v/>
      </c>
      <c r="L89" s="10">
        <f>(Profiles!$B$4*(Profiles!$B$9*F89+Profiles!$B$8*IF(H89="",F89,H89)+Profiles!$B$10*IF(I89="",F89,I89))+Profiles!$C$4*G89)/1000000+Profiles!$D$4*IF(J89="",0,J89)</f>
        <v/>
      </c>
      <c r="M89" s="10">
        <f>(Profiles!$B$5*(Profiles!$B$9*F89+Profiles!$B$8*IF(H89="",F89,H89)+Profiles!$B$10*IF(I89="",F89,I89))+Profiles!$C$5*G89)/1000000+Profiles!$D$5*IF(J89="",0,J89)</f>
        <v/>
      </c>
      <c r="N89" s="10">
        <f>K89+L89+M89</f>
        <v/>
      </c>
      <c r="O89" s="10">
        <f>3*N89</f>
        <v/>
      </c>
    </row>
    <row r="90">
      <c r="A90" t="n">
        <v>89</v>
      </c>
      <c r="B90" t="inlineStr">
        <is>
          <t>google/gemini-3.1-pro-preview</t>
        </is>
      </c>
      <c r="C90" t="inlineStr">
        <is>
          <t>2026-02-19</t>
        </is>
      </c>
      <c r="D90" t="inlineStr"/>
      <c r="E90" t="inlineStr"/>
      <c r="F90" s="9" t="n">
        <v>2</v>
      </c>
      <c r="G90" s="9" t="n">
        <v>12</v>
      </c>
      <c r="H90" s="9" t="n">
        <v>0.2</v>
      </c>
      <c r="I90" s="9" t="n">
        <v>0.375</v>
      </c>
      <c r="J90" s="9" t="n">
        <v>2e-06</v>
      </c>
      <c r="K90" s="10">
        <f>(Profiles!$B$3*(Profiles!$B$9*F90+Profiles!$B$8*IF(H90="",F90,H90)+Profiles!$B$10*IF(I90="",F90,I90))+Profiles!$C$3*G90)/1000000+Profiles!$D$3*IF(J90="",0,J90)</f>
        <v/>
      </c>
      <c r="L90" s="10">
        <f>(Profiles!$B$4*(Profiles!$B$9*F90+Profiles!$B$8*IF(H90="",F90,H90)+Profiles!$B$10*IF(I90="",F90,I90))+Profiles!$C$4*G90)/1000000+Profiles!$D$4*IF(J90="",0,J90)</f>
        <v/>
      </c>
      <c r="M90" s="10">
        <f>(Profiles!$B$5*(Profiles!$B$9*F90+Profiles!$B$8*IF(H90="",F90,H90)+Profiles!$B$10*IF(I90="",F90,I90))+Profiles!$C$5*G90)/1000000+Profiles!$D$5*IF(J90="",0,J90)</f>
        <v/>
      </c>
      <c r="N90" s="10">
        <f>K90+L90+M90</f>
        <v/>
      </c>
      <c r="O90" s="10">
        <f>3*N90</f>
        <v/>
      </c>
    </row>
    <row r="91">
      <c r="A91" t="n">
        <v>90</v>
      </c>
      <c r="B91" t="inlineStr">
        <is>
          <t>anthropic/claude-sonnet-4.6</t>
        </is>
      </c>
      <c r="C91" t="inlineStr">
        <is>
          <t>2026-02-17</t>
        </is>
      </c>
      <c r="D91" t="inlineStr"/>
      <c r="E91" t="inlineStr"/>
      <c r="F91" s="9" t="n">
        <v>3</v>
      </c>
      <c r="G91" s="9" t="n">
        <v>15</v>
      </c>
      <c r="H91" s="9" t="n">
        <v>0.3</v>
      </c>
      <c r="I91" s="9" t="n">
        <v>3.75</v>
      </c>
      <c r="J91" s="9" t="n"/>
      <c r="K91" s="10">
        <f>(Profiles!$B$3*(Profiles!$B$9*F91+Profiles!$B$8*IF(H91="",F91,H91)+Profiles!$B$10*IF(I91="",F91,I91))+Profiles!$C$3*G91)/1000000+Profiles!$D$3*IF(J91="",0,J91)</f>
        <v/>
      </c>
      <c r="L91" s="10">
        <f>(Profiles!$B$4*(Profiles!$B$9*F91+Profiles!$B$8*IF(H91="",F91,H91)+Profiles!$B$10*IF(I91="",F91,I91))+Profiles!$C$4*G91)/1000000+Profiles!$D$4*IF(J91="",0,J91)</f>
        <v/>
      </c>
      <c r="M91" s="10">
        <f>(Profiles!$B$5*(Profiles!$B$9*F91+Profiles!$B$8*IF(H91="",F91,H91)+Profiles!$B$10*IF(I91="",F91,I91))+Profiles!$C$5*G91)/1000000+Profiles!$D$5*IF(J91="",0,J91)</f>
        <v/>
      </c>
      <c r="N91" s="10">
        <f>K91+L91+M91</f>
        <v/>
      </c>
      <c r="O91" s="10">
        <f>3*N91</f>
        <v/>
      </c>
    </row>
    <row r="92">
      <c r="A92" t="n">
        <v>91</v>
      </c>
      <c r="B92" t="inlineStr">
        <is>
          <t>qwen/qwen3.5-plus-02-15</t>
        </is>
      </c>
      <c r="C92" t="inlineStr">
        <is>
          <t>2026-02-16</t>
        </is>
      </c>
      <c r="D92" t="inlineStr"/>
      <c r="E92" t="inlineStr"/>
      <c r="F92" s="9" t="n">
        <v>0.26</v>
      </c>
      <c r="G92" s="9" t="n">
        <v>1.56</v>
      </c>
      <c r="H92" s="9" t="n"/>
      <c r="I92" s="9" t="n"/>
      <c r="J92" s="9" t="n"/>
      <c r="K92" s="10">
        <f>(Profiles!$B$3*(Profiles!$B$9*F92+Profiles!$B$8*IF(H92="",F92,H92)+Profiles!$B$10*IF(I92="",F92,I92))+Profiles!$C$3*G92)/1000000+Profiles!$D$3*IF(J92="",0,J92)</f>
        <v/>
      </c>
      <c r="L92" s="10">
        <f>(Profiles!$B$4*(Profiles!$B$9*F92+Profiles!$B$8*IF(H92="",F92,H92)+Profiles!$B$10*IF(I92="",F92,I92))+Profiles!$C$4*G92)/1000000+Profiles!$D$4*IF(J92="",0,J92)</f>
        <v/>
      </c>
      <c r="M92" s="10">
        <f>(Profiles!$B$5*(Profiles!$B$9*F92+Profiles!$B$8*IF(H92="",F92,H92)+Profiles!$B$10*IF(I92="",F92,I92))+Profiles!$C$5*G92)/1000000+Profiles!$D$5*IF(J92="",0,J92)</f>
        <v/>
      </c>
      <c r="N92" s="10">
        <f>K92+L92+M92</f>
        <v/>
      </c>
      <c r="O92" s="10">
        <f>3*N92</f>
        <v/>
      </c>
    </row>
    <row r="93">
      <c r="A93" t="n">
        <v>92</v>
      </c>
      <c r="B93" t="inlineStr">
        <is>
          <t>qwen/qwen3.5-397b-a17b</t>
        </is>
      </c>
      <c r="C93" t="inlineStr">
        <is>
          <t>2026-02-16</t>
        </is>
      </c>
      <c r="D93" t="inlineStr"/>
      <c r="E93" t="inlineStr"/>
      <c r="F93" s="9" t="n">
        <v>0.55</v>
      </c>
      <c r="G93" s="9" t="n">
        <v>3.5</v>
      </c>
      <c r="H93" s="9" t="n">
        <v>0.225</v>
      </c>
      <c r="I93" s="9" t="n"/>
      <c r="J93" s="9" t="n"/>
      <c r="K93" s="10">
        <f>(Profiles!$B$3*(Profiles!$B$9*F93+Profiles!$B$8*IF(H93="",F93,H93)+Profiles!$B$10*IF(I93="",F93,I93))+Profiles!$C$3*G93)/1000000+Profiles!$D$3*IF(J93="",0,J93)</f>
        <v/>
      </c>
      <c r="L93" s="10">
        <f>(Profiles!$B$4*(Profiles!$B$9*F93+Profiles!$B$8*IF(H93="",F93,H93)+Profiles!$B$10*IF(I93="",F93,I93))+Profiles!$C$4*G93)/1000000+Profiles!$D$4*IF(J93="",0,J93)</f>
        <v/>
      </c>
      <c r="M93" s="10">
        <f>(Profiles!$B$5*(Profiles!$B$9*F93+Profiles!$B$8*IF(H93="",F93,H93)+Profiles!$B$10*IF(I93="",F93,I93))+Profiles!$C$5*G93)/1000000+Profiles!$D$5*IF(J93="",0,J93)</f>
        <v/>
      </c>
      <c r="N93" s="10">
        <f>K93+L93+M93</f>
        <v/>
      </c>
      <c r="O93" s="10">
        <f>3*N93</f>
        <v/>
      </c>
    </row>
    <row r="94">
      <c r="A94" t="n">
        <v>93</v>
      </c>
      <c r="B94" t="inlineStr">
        <is>
          <t>anthropic/claude-opus-4.6</t>
        </is>
      </c>
      <c r="C94" t="inlineStr">
        <is>
          <t>2026-02-04</t>
        </is>
      </c>
      <c r="D94" t="inlineStr"/>
      <c r="E94" t="inlineStr"/>
      <c r="F94" s="9" t="n">
        <v>5</v>
      </c>
      <c r="G94" s="9" t="n">
        <v>25</v>
      </c>
      <c r="H94" s="9" t="n">
        <v>0.5</v>
      </c>
      <c r="I94" s="9" t="n">
        <v>6.25</v>
      </c>
      <c r="J94" s="9" t="n"/>
      <c r="K94" s="10">
        <f>(Profiles!$B$3*(Profiles!$B$9*F94+Profiles!$B$8*IF(H94="",F94,H94)+Profiles!$B$10*IF(I94="",F94,I94))+Profiles!$C$3*G94)/1000000+Profiles!$D$3*IF(J94="",0,J94)</f>
        <v/>
      </c>
      <c r="L94" s="10">
        <f>(Profiles!$B$4*(Profiles!$B$9*F94+Profiles!$B$8*IF(H94="",F94,H94)+Profiles!$B$10*IF(I94="",F94,I94))+Profiles!$C$4*G94)/1000000+Profiles!$D$4*IF(J94="",0,J94)</f>
        <v/>
      </c>
      <c r="M94" s="10">
        <f>(Profiles!$B$5*(Profiles!$B$9*F94+Profiles!$B$8*IF(H94="",F94,H94)+Profiles!$B$10*IF(I94="",F94,I94))+Profiles!$C$5*G94)/1000000+Profiles!$D$5*IF(J94="",0,J94)</f>
        <v/>
      </c>
      <c r="N94" s="10">
        <f>K94+L94+M94</f>
        <v/>
      </c>
      <c r="O94" s="10">
        <f>3*N94</f>
        <v/>
      </c>
    </row>
    <row r="95">
      <c r="A95" t="n">
        <v>94</v>
      </c>
      <c r="B95" t="inlineStr">
        <is>
          <t>openrouter/free</t>
        </is>
      </c>
      <c r="C95" t="inlineStr">
        <is>
          <t>2026-02-01</t>
        </is>
      </c>
      <c r="D95" t="inlineStr"/>
      <c r="E95" t="inlineStr"/>
      <c r="F95" s="9" t="n">
        <v>0</v>
      </c>
      <c r="G95" s="9" t="n">
        <v>0</v>
      </c>
      <c r="H95" s="9" t="n"/>
      <c r="I95" s="9" t="n"/>
      <c r="J95" s="9" t="n"/>
      <c r="K95" s="10">
        <f>(Profiles!$B$3*(Profiles!$B$9*F95+Profiles!$B$8*IF(H95="",F95,H95)+Profiles!$B$10*IF(I95="",F95,I95))+Profiles!$C$3*G95)/1000000+Profiles!$D$3*IF(J95="",0,J95)</f>
        <v/>
      </c>
      <c r="L95" s="10">
        <f>(Profiles!$B$4*(Profiles!$B$9*F95+Profiles!$B$8*IF(H95="",F95,H95)+Profiles!$B$10*IF(I95="",F95,I95))+Profiles!$C$4*G95)/1000000+Profiles!$D$4*IF(J95="",0,J95)</f>
        <v/>
      </c>
      <c r="M95" s="10">
        <f>(Profiles!$B$5*(Profiles!$B$9*F95+Profiles!$B$8*IF(H95="",F95,H95)+Profiles!$B$10*IF(I95="",F95,I95))+Profiles!$C$5*G95)/1000000+Profiles!$D$5*IF(J95="",0,J95)</f>
        <v/>
      </c>
      <c r="N95" s="10">
        <f>K95+L95+M95</f>
        <v/>
      </c>
      <c r="O95" s="10">
        <f>3*N95</f>
        <v/>
      </c>
    </row>
    <row r="96">
      <c r="A96" t="n">
        <v>95</v>
      </c>
      <c r="B96" t="inlineStr">
        <is>
          <t>moonshotai/kimi-k2.5</t>
        </is>
      </c>
      <c r="C96" t="inlineStr">
        <is>
          <t>2026-01-27</t>
        </is>
      </c>
      <c r="D96" t="inlineStr"/>
      <c r="E96" t="inlineStr"/>
      <c r="F96" s="9" t="n">
        <v>0.45</v>
      </c>
      <c r="G96" s="9" t="n">
        <v>2.25</v>
      </c>
      <c r="H96" s="9" t="n">
        <v>0.07000000000000001</v>
      </c>
      <c r="I96" s="9" t="n"/>
      <c r="J96" s="9" t="n"/>
      <c r="K96" s="10">
        <f>(Profiles!$B$3*(Profiles!$B$9*F96+Profiles!$B$8*IF(H96="",F96,H96)+Profiles!$B$10*IF(I96="",F96,I96))+Profiles!$C$3*G96)/1000000+Profiles!$D$3*IF(J96="",0,J96)</f>
        <v/>
      </c>
      <c r="L96" s="10">
        <f>(Profiles!$B$4*(Profiles!$B$9*F96+Profiles!$B$8*IF(H96="",F96,H96)+Profiles!$B$10*IF(I96="",F96,I96))+Profiles!$C$4*G96)/1000000+Profiles!$D$4*IF(J96="",0,J96)</f>
        <v/>
      </c>
      <c r="M96" s="10">
        <f>(Profiles!$B$5*(Profiles!$B$9*F96+Profiles!$B$8*IF(H96="",F96,H96)+Profiles!$B$10*IF(I96="",F96,I96))+Profiles!$C$5*G96)/1000000+Profiles!$D$5*IF(J96="",0,J96)</f>
        <v/>
      </c>
      <c r="N96" s="10">
        <f>K96+L96+M96</f>
        <v/>
      </c>
      <c r="O96" s="10">
        <f>3*N96</f>
        <v/>
      </c>
    </row>
    <row r="97">
      <c r="A97" t="n">
        <v>96</v>
      </c>
      <c r="B97" t="inlineStr">
        <is>
          <t>openai/gpt-5.2-codex</t>
        </is>
      </c>
      <c r="C97" t="inlineStr">
        <is>
          <t>2026-01-14</t>
        </is>
      </c>
      <c r="D97" t="inlineStr"/>
      <c r="E97" t="inlineStr"/>
      <c r="F97" s="9" t="n">
        <v>1.75</v>
      </c>
      <c r="G97" s="9" t="n">
        <v>14</v>
      </c>
      <c r="H97" s="9" t="n">
        <v>0.175</v>
      </c>
      <c r="I97" s="9" t="n"/>
      <c r="J97" s="9" t="n"/>
      <c r="K97" s="10">
        <f>(Profiles!$B$3*(Profiles!$B$9*F97+Profiles!$B$8*IF(H97="",F97,H97)+Profiles!$B$10*IF(I97="",F97,I97))+Profiles!$C$3*G97)/1000000+Profiles!$D$3*IF(J97="",0,J97)</f>
        <v/>
      </c>
      <c r="L97" s="10">
        <f>(Profiles!$B$4*(Profiles!$B$9*F97+Profiles!$B$8*IF(H97="",F97,H97)+Profiles!$B$10*IF(I97="",F97,I97))+Profiles!$C$4*G97)/1000000+Profiles!$D$4*IF(J97="",0,J97)</f>
        <v/>
      </c>
      <c r="M97" s="10">
        <f>(Profiles!$B$5*(Profiles!$B$9*F97+Profiles!$B$8*IF(H97="",F97,H97)+Profiles!$B$10*IF(I97="",F97,I97))+Profiles!$C$5*G97)/1000000+Profiles!$D$5*IF(J97="",0,J97)</f>
        <v/>
      </c>
      <c r="N97" s="10">
        <f>K97+L97+M97</f>
        <v/>
      </c>
      <c r="O97" s="10">
        <f>3*N97</f>
        <v/>
      </c>
    </row>
    <row r="98">
      <c r="A98" t="n">
        <v>97</v>
      </c>
      <c r="B98" t="inlineStr">
        <is>
          <t>bytedance-seed/seed-1.6-flash</t>
        </is>
      </c>
      <c r="C98" t="inlineStr">
        <is>
          <t>2025-12-23</t>
        </is>
      </c>
      <c r="D98" t="inlineStr"/>
      <c r="E98" t="inlineStr"/>
      <c r="F98" s="9" t="n">
        <v>0.075</v>
      </c>
      <c r="G98" s="9" t="n">
        <v>0.3</v>
      </c>
      <c r="H98" s="9" t="n"/>
      <c r="I98" s="9" t="n"/>
      <c r="J98" s="9" t="n"/>
      <c r="K98" s="10">
        <f>(Profiles!$B$3*(Profiles!$B$9*F98+Profiles!$B$8*IF(H98="",F98,H98)+Profiles!$B$10*IF(I98="",F98,I98))+Profiles!$C$3*G98)/1000000+Profiles!$D$3*IF(J98="",0,J98)</f>
        <v/>
      </c>
      <c r="L98" s="10">
        <f>(Profiles!$B$4*(Profiles!$B$9*F98+Profiles!$B$8*IF(H98="",F98,H98)+Profiles!$B$10*IF(I98="",F98,I98))+Profiles!$C$4*G98)/1000000+Profiles!$D$4*IF(J98="",0,J98)</f>
        <v/>
      </c>
      <c r="M98" s="10">
        <f>(Profiles!$B$5*(Profiles!$B$9*F98+Profiles!$B$8*IF(H98="",F98,H98)+Profiles!$B$10*IF(I98="",F98,I98))+Profiles!$C$5*G98)/1000000+Profiles!$D$5*IF(J98="",0,J98)</f>
        <v/>
      </c>
      <c r="N98" s="10">
        <f>K98+L98+M98</f>
        <v/>
      </c>
      <c r="O98" s="10">
        <f>3*N98</f>
        <v/>
      </c>
    </row>
    <row r="99">
      <c r="A99" t="n">
        <v>98</v>
      </c>
      <c r="B99" t="inlineStr">
        <is>
          <t>bytedance-seed/seed-1.6</t>
        </is>
      </c>
      <c r="C99" t="inlineStr">
        <is>
          <t>2025-12-23</t>
        </is>
      </c>
      <c r="D99" t="inlineStr"/>
      <c r="E99" t="inlineStr"/>
      <c r="F99" s="9" t="n">
        <v>0.25</v>
      </c>
      <c r="G99" s="9" t="n">
        <v>2</v>
      </c>
      <c r="H99" s="9" t="n"/>
      <c r="I99" s="9" t="n"/>
      <c r="J99" s="9" t="n"/>
      <c r="K99" s="10">
        <f>(Profiles!$B$3*(Profiles!$B$9*F99+Profiles!$B$8*IF(H99="",F99,H99)+Profiles!$B$10*IF(I99="",F99,I99))+Profiles!$C$3*G99)/1000000+Profiles!$D$3*IF(J99="",0,J99)</f>
        <v/>
      </c>
      <c r="L99" s="10">
        <f>(Profiles!$B$4*(Profiles!$B$9*F99+Profiles!$B$8*IF(H99="",F99,H99)+Profiles!$B$10*IF(I99="",F99,I99))+Profiles!$C$4*G99)/1000000+Profiles!$D$4*IF(J99="",0,J99)</f>
        <v/>
      </c>
      <c r="M99" s="10">
        <f>(Profiles!$B$5*(Profiles!$B$9*F99+Profiles!$B$8*IF(H99="",F99,H99)+Profiles!$B$10*IF(I99="",F99,I99))+Profiles!$C$5*G99)/1000000+Profiles!$D$5*IF(J99="",0,J99)</f>
        <v/>
      </c>
      <c r="N99" s="10">
        <f>K99+L99+M99</f>
        <v/>
      </c>
      <c r="O99" s="10">
        <f>3*N99</f>
        <v/>
      </c>
    </row>
    <row r="100">
      <c r="A100" t="n">
        <v>99</v>
      </c>
      <c r="B100" t="inlineStr">
        <is>
          <t>google/gemini-3-flash-preview</t>
        </is>
      </c>
      <c r="C100" t="inlineStr">
        <is>
          <t>2025-12-17</t>
        </is>
      </c>
      <c r="D100" t="inlineStr"/>
      <c r="E100" t="inlineStr"/>
      <c r="F100" s="9" t="n">
        <v>0.5</v>
      </c>
      <c r="G100" s="9" t="n">
        <v>3</v>
      </c>
      <c r="H100" s="9" t="n">
        <v>0.05</v>
      </c>
      <c r="I100" s="9" t="n">
        <v>0.0833333333333333</v>
      </c>
      <c r="J100" s="9" t="n">
        <v>5e-07</v>
      </c>
      <c r="K100" s="10">
        <f>(Profiles!$B$3*(Profiles!$B$9*F100+Profiles!$B$8*IF(H100="",F100,H100)+Profiles!$B$10*IF(I100="",F100,I100))+Profiles!$C$3*G100)/1000000+Profiles!$D$3*IF(J100="",0,J100)</f>
        <v/>
      </c>
      <c r="L100" s="10">
        <f>(Profiles!$B$4*(Profiles!$B$9*F100+Profiles!$B$8*IF(H100="",F100,H100)+Profiles!$B$10*IF(I100="",F100,I100))+Profiles!$C$4*G100)/1000000+Profiles!$D$4*IF(J100="",0,J100)</f>
        <v/>
      </c>
      <c r="M100" s="10">
        <f>(Profiles!$B$5*(Profiles!$B$9*F100+Profiles!$B$8*IF(H100="",F100,H100)+Profiles!$B$10*IF(I100="",F100,I100))+Profiles!$C$5*G100)/1000000+Profiles!$D$5*IF(J100="",0,J100)</f>
        <v/>
      </c>
      <c r="N100" s="10">
        <f>K100+L100+M100</f>
        <v/>
      </c>
      <c r="O100" s="10">
        <f>3*N100</f>
        <v/>
      </c>
    </row>
    <row r="101">
      <c r="A101" t="n">
        <v>100</v>
      </c>
      <c r="B101" t="inlineStr">
        <is>
          <t>openai/gpt-5.2-chat</t>
        </is>
      </c>
      <c r="C101" t="inlineStr">
        <is>
          <t>2025-12-10</t>
        </is>
      </c>
      <c r="D101" t="inlineStr"/>
      <c r="E101" t="inlineStr"/>
      <c r="F101" s="9" t="n">
        <v>1.75</v>
      </c>
      <c r="G101" s="9" t="n">
        <v>14</v>
      </c>
      <c r="H101" s="9" t="n">
        <v>0.175</v>
      </c>
      <c r="I101" s="9" t="n"/>
      <c r="J101" s="9" t="n"/>
      <c r="K101" s="10">
        <f>(Profiles!$B$3*(Profiles!$B$9*F101+Profiles!$B$8*IF(H101="",F101,H101)+Profiles!$B$10*IF(I101="",F101,I101))+Profiles!$C$3*G101)/1000000+Profiles!$D$3*IF(J101="",0,J101)</f>
        <v/>
      </c>
      <c r="L101" s="10">
        <f>(Profiles!$B$4*(Profiles!$B$9*F101+Profiles!$B$8*IF(H101="",F101,H101)+Profiles!$B$10*IF(I101="",F101,I101))+Profiles!$C$4*G101)/1000000+Profiles!$D$4*IF(J101="",0,J101)</f>
        <v/>
      </c>
      <c r="M101" s="10">
        <f>(Profiles!$B$5*(Profiles!$B$9*F101+Profiles!$B$8*IF(H101="",F101,H101)+Profiles!$B$10*IF(I101="",F101,I101))+Profiles!$C$5*G101)/1000000+Profiles!$D$5*IF(J101="",0,J101)</f>
        <v/>
      </c>
      <c r="N101" s="10">
        <f>K101+L101+M101</f>
        <v/>
      </c>
      <c r="O101" s="10">
        <f>3*N101</f>
        <v/>
      </c>
    </row>
    <row r="102">
      <c r="A102" t="n">
        <v>101</v>
      </c>
      <c r="B102" t="inlineStr">
        <is>
          <t>openai/gpt-5.2</t>
        </is>
      </c>
      <c r="C102" t="inlineStr">
        <is>
          <t>2025-12-10</t>
        </is>
      </c>
      <c r="D102" t="inlineStr"/>
      <c r="E102" t="inlineStr"/>
      <c r="F102" s="9" t="n">
        <v>1.75</v>
      </c>
      <c r="G102" s="9" t="n">
        <v>14</v>
      </c>
      <c r="H102" s="9" t="n">
        <v>0.175</v>
      </c>
      <c r="I102" s="9" t="n"/>
      <c r="J102" s="9" t="n"/>
      <c r="K102" s="10">
        <f>(Profiles!$B$3*(Profiles!$B$9*F102+Profiles!$B$8*IF(H102="",F102,H102)+Profiles!$B$10*IF(I102="",F102,I102))+Profiles!$C$3*G102)/1000000+Profiles!$D$3*IF(J102="",0,J102)</f>
        <v/>
      </c>
      <c r="L102" s="10">
        <f>(Profiles!$B$4*(Profiles!$B$9*F102+Profiles!$B$8*IF(H102="",F102,H102)+Profiles!$B$10*IF(I102="",F102,I102))+Profiles!$C$4*G102)/1000000+Profiles!$D$4*IF(J102="",0,J102)</f>
        <v/>
      </c>
      <c r="M102" s="10">
        <f>(Profiles!$B$5*(Profiles!$B$9*F102+Profiles!$B$8*IF(H102="",F102,H102)+Profiles!$B$10*IF(I102="",F102,I102))+Profiles!$C$5*G102)/1000000+Profiles!$D$5*IF(J102="",0,J102)</f>
        <v/>
      </c>
      <c r="N102" s="10">
        <f>K102+L102+M102</f>
        <v/>
      </c>
      <c r="O102" s="10">
        <f>3*N102</f>
        <v/>
      </c>
    </row>
    <row r="103">
      <c r="A103" t="n">
        <v>102</v>
      </c>
      <c r="B103" t="inlineStr">
        <is>
          <t>z-ai/glm-4.6v</t>
        </is>
      </c>
      <c r="C103" t="inlineStr">
        <is>
          <t>2025-12-08</t>
        </is>
      </c>
      <c r="D103" t="inlineStr"/>
      <c r="E103" t="inlineStr"/>
      <c r="F103" s="9" t="n">
        <v>0.3</v>
      </c>
      <c r="G103" s="9" t="n">
        <v>0.8999999999999999</v>
      </c>
      <c r="H103" s="9" t="n">
        <v>0.055</v>
      </c>
      <c r="I103" s="9" t="n"/>
      <c r="J103" s="9" t="n"/>
      <c r="K103" s="10">
        <f>(Profiles!$B$3*(Profiles!$B$9*F103+Profiles!$B$8*IF(H103="",F103,H103)+Profiles!$B$10*IF(I103="",F103,I103))+Profiles!$C$3*G103)/1000000+Profiles!$D$3*IF(J103="",0,J103)</f>
        <v/>
      </c>
      <c r="L103" s="10">
        <f>(Profiles!$B$4*(Profiles!$B$9*F103+Profiles!$B$8*IF(H103="",F103,H103)+Profiles!$B$10*IF(I103="",F103,I103))+Profiles!$C$4*G103)/1000000+Profiles!$D$4*IF(J103="",0,J103)</f>
        <v/>
      </c>
      <c r="M103" s="10">
        <f>(Profiles!$B$5*(Profiles!$B$9*F103+Profiles!$B$8*IF(H103="",F103,H103)+Profiles!$B$10*IF(I103="",F103,I103))+Profiles!$C$5*G103)/1000000+Profiles!$D$5*IF(J103="",0,J103)</f>
        <v/>
      </c>
      <c r="N103" s="10">
        <f>K103+L103+M103</f>
        <v/>
      </c>
      <c r="O103" s="10">
        <f>3*N103</f>
        <v/>
      </c>
    </row>
    <row r="104">
      <c r="A104" t="n">
        <v>103</v>
      </c>
      <c r="B104" t="inlineStr">
        <is>
          <t>openai/gpt-5.1-codex-max</t>
        </is>
      </c>
      <c r="C104" t="inlineStr">
        <is>
          <t>2025-12-04</t>
        </is>
      </c>
      <c r="D104" t="inlineStr"/>
      <c r="E104" t="inlineStr"/>
      <c r="F104" s="9" t="n">
        <v>1.25</v>
      </c>
      <c r="G104" s="9" t="n">
        <v>10</v>
      </c>
      <c r="H104" s="9" t="n">
        <v>0.125</v>
      </c>
      <c r="I104" s="9" t="n"/>
      <c r="J104" s="9" t="n"/>
      <c r="K104" s="10">
        <f>(Profiles!$B$3*(Profiles!$B$9*F104+Profiles!$B$8*IF(H104="",F104,H104)+Profiles!$B$10*IF(I104="",F104,I104))+Profiles!$C$3*G104)/1000000+Profiles!$D$3*IF(J104="",0,J104)</f>
        <v/>
      </c>
      <c r="L104" s="10">
        <f>(Profiles!$B$4*(Profiles!$B$9*F104+Profiles!$B$8*IF(H104="",F104,H104)+Profiles!$B$10*IF(I104="",F104,I104))+Profiles!$C$4*G104)/1000000+Profiles!$D$4*IF(J104="",0,J104)</f>
        <v/>
      </c>
      <c r="M104" s="10">
        <f>(Profiles!$B$5*(Profiles!$B$9*F104+Profiles!$B$8*IF(H104="",F104,H104)+Profiles!$B$10*IF(I104="",F104,I104))+Profiles!$C$5*G104)/1000000+Profiles!$D$5*IF(J104="",0,J104)</f>
        <v/>
      </c>
      <c r="N104" s="10">
        <f>K104+L104+M104</f>
        <v/>
      </c>
      <c r="O104" s="10">
        <f>3*N104</f>
        <v/>
      </c>
    </row>
    <row r="105">
      <c r="A105" t="n">
        <v>104</v>
      </c>
      <c r="B105" t="inlineStr">
        <is>
          <t>amazon/nova-2-lite-v1</t>
        </is>
      </c>
      <c r="C105" t="inlineStr">
        <is>
          <t>2025-12-02</t>
        </is>
      </c>
      <c r="D105" t="inlineStr"/>
      <c r="E105" t="inlineStr"/>
      <c r="F105" s="9" t="n">
        <v>0.3</v>
      </c>
      <c r="G105" s="9" t="n">
        <v>2.5</v>
      </c>
      <c r="H105" s="9" t="n"/>
      <c r="I105" s="9" t="n"/>
      <c r="J105" s="9" t="n"/>
      <c r="K105" s="10">
        <f>(Profiles!$B$3*(Profiles!$B$9*F105+Profiles!$B$8*IF(H105="",F105,H105)+Profiles!$B$10*IF(I105="",F105,I105))+Profiles!$C$3*G105)/1000000+Profiles!$D$3*IF(J105="",0,J105)</f>
        <v/>
      </c>
      <c r="L105" s="10">
        <f>(Profiles!$B$4*(Profiles!$B$9*F105+Profiles!$B$8*IF(H105="",F105,H105)+Profiles!$B$10*IF(I105="",F105,I105))+Profiles!$C$4*G105)/1000000+Profiles!$D$4*IF(J105="",0,J105)</f>
        <v/>
      </c>
      <c r="M105" s="10">
        <f>(Profiles!$B$5*(Profiles!$B$9*F105+Profiles!$B$8*IF(H105="",F105,H105)+Profiles!$B$10*IF(I105="",F105,I105))+Profiles!$C$5*G105)/1000000+Profiles!$D$5*IF(J105="",0,J105)</f>
        <v/>
      </c>
      <c r="N105" s="10">
        <f>K105+L105+M105</f>
        <v/>
      </c>
      <c r="O105" s="10">
        <f>3*N105</f>
        <v/>
      </c>
    </row>
    <row r="106">
      <c r="A106" t="n">
        <v>105</v>
      </c>
      <c r="B106" t="inlineStr">
        <is>
          <t>mistralai/ministral-14b-2512</t>
        </is>
      </c>
      <c r="C106" t="inlineStr">
        <is>
          <t>2025-12-02</t>
        </is>
      </c>
      <c r="D106" t="inlineStr"/>
      <c r="E106" t="inlineStr"/>
      <c r="F106" s="9" t="n">
        <v>0.2</v>
      </c>
      <c r="G106" s="9" t="n">
        <v>0.2</v>
      </c>
      <c r="H106" s="9" t="n">
        <v>0.02</v>
      </c>
      <c r="I106" s="9" t="n"/>
      <c r="J106" s="9" t="n"/>
      <c r="K106" s="10">
        <f>(Profiles!$B$3*(Profiles!$B$9*F106+Profiles!$B$8*IF(H106="",F106,H106)+Profiles!$B$10*IF(I106="",F106,I106))+Profiles!$C$3*G106)/1000000+Profiles!$D$3*IF(J106="",0,J106)</f>
        <v/>
      </c>
      <c r="L106" s="10">
        <f>(Profiles!$B$4*(Profiles!$B$9*F106+Profiles!$B$8*IF(H106="",F106,H106)+Profiles!$B$10*IF(I106="",F106,I106))+Profiles!$C$4*G106)/1000000+Profiles!$D$4*IF(J106="",0,J106)</f>
        <v/>
      </c>
      <c r="M106" s="10">
        <f>(Profiles!$B$5*(Profiles!$B$9*F106+Profiles!$B$8*IF(H106="",F106,H106)+Profiles!$B$10*IF(I106="",F106,I106))+Profiles!$C$5*G106)/1000000+Profiles!$D$5*IF(J106="",0,J106)</f>
        <v/>
      </c>
      <c r="N106" s="10">
        <f>K106+L106+M106</f>
        <v/>
      </c>
      <c r="O106" s="10">
        <f>3*N106</f>
        <v/>
      </c>
    </row>
    <row r="107">
      <c r="A107" t="n">
        <v>106</v>
      </c>
      <c r="B107" t="inlineStr">
        <is>
          <t>mistralai/ministral-8b-2512</t>
        </is>
      </c>
      <c r="C107" t="inlineStr">
        <is>
          <t>2025-12-02</t>
        </is>
      </c>
      <c r="D107" t="inlineStr"/>
      <c r="E107" t="inlineStr"/>
      <c r="F107" s="9" t="n">
        <v>0.15</v>
      </c>
      <c r="G107" s="9" t="n">
        <v>0.15</v>
      </c>
      <c r="H107" s="9" t="n">
        <v>0.015</v>
      </c>
      <c r="I107" s="9" t="n"/>
      <c r="J107" s="9" t="n"/>
      <c r="K107" s="10">
        <f>(Profiles!$B$3*(Profiles!$B$9*F107+Profiles!$B$8*IF(H107="",F107,H107)+Profiles!$B$10*IF(I107="",F107,I107))+Profiles!$C$3*G107)/1000000+Profiles!$D$3*IF(J107="",0,J107)</f>
        <v/>
      </c>
      <c r="L107" s="10">
        <f>(Profiles!$B$4*(Profiles!$B$9*F107+Profiles!$B$8*IF(H107="",F107,H107)+Profiles!$B$10*IF(I107="",F107,I107))+Profiles!$C$4*G107)/1000000+Profiles!$D$4*IF(J107="",0,J107)</f>
        <v/>
      </c>
      <c r="M107" s="10">
        <f>(Profiles!$B$5*(Profiles!$B$9*F107+Profiles!$B$8*IF(H107="",F107,H107)+Profiles!$B$10*IF(I107="",F107,I107))+Profiles!$C$5*G107)/1000000+Profiles!$D$5*IF(J107="",0,J107)</f>
        <v/>
      </c>
      <c r="N107" s="10">
        <f>K107+L107+M107</f>
        <v/>
      </c>
      <c r="O107" s="10">
        <f>3*N107</f>
        <v/>
      </c>
    </row>
    <row r="108">
      <c r="A108" t="n">
        <v>107</v>
      </c>
      <c r="B108" t="inlineStr">
        <is>
          <t>mistralai/ministral-3b-2512</t>
        </is>
      </c>
      <c r="C108" t="inlineStr">
        <is>
          <t>2025-12-02</t>
        </is>
      </c>
      <c r="D108" t="inlineStr"/>
      <c r="E108" t="inlineStr"/>
      <c r="F108" s="9" t="n">
        <v>0.09999999999999999</v>
      </c>
      <c r="G108" s="9" t="n">
        <v>0.09999999999999999</v>
      </c>
      <c r="H108" s="9" t="n">
        <v>0.01</v>
      </c>
      <c r="I108" s="9" t="n"/>
      <c r="J108" s="9" t="n"/>
      <c r="K108" s="10">
        <f>(Profiles!$B$3*(Profiles!$B$9*F108+Profiles!$B$8*IF(H108="",F108,H108)+Profiles!$B$10*IF(I108="",F108,I108))+Profiles!$C$3*G108)/1000000+Profiles!$D$3*IF(J108="",0,J108)</f>
        <v/>
      </c>
      <c r="L108" s="10">
        <f>(Profiles!$B$4*(Profiles!$B$9*F108+Profiles!$B$8*IF(H108="",F108,H108)+Profiles!$B$10*IF(I108="",F108,I108))+Profiles!$C$4*G108)/1000000+Profiles!$D$4*IF(J108="",0,J108)</f>
        <v/>
      </c>
      <c r="M108" s="10">
        <f>(Profiles!$B$5*(Profiles!$B$9*F108+Profiles!$B$8*IF(H108="",F108,H108)+Profiles!$B$10*IF(I108="",F108,I108))+Profiles!$C$5*G108)/1000000+Profiles!$D$5*IF(J108="",0,J108)</f>
        <v/>
      </c>
      <c r="N108" s="10">
        <f>K108+L108+M108</f>
        <v/>
      </c>
      <c r="O108" s="10">
        <f>3*N108</f>
        <v/>
      </c>
    </row>
    <row r="109">
      <c r="A109" t="n">
        <v>108</v>
      </c>
      <c r="B109" t="inlineStr">
        <is>
          <t>mistralai/mistral-large-2512</t>
        </is>
      </c>
      <c r="C109" t="inlineStr">
        <is>
          <t>2025-12-01</t>
        </is>
      </c>
      <c r="D109" t="inlineStr"/>
      <c r="E109" t="inlineStr"/>
      <c r="F109" s="9" t="n">
        <v>0.5</v>
      </c>
      <c r="G109" s="9" t="n">
        <v>1.5</v>
      </c>
      <c r="H109" s="9" t="n">
        <v>0.05</v>
      </c>
      <c r="I109" s="9" t="n"/>
      <c r="J109" s="9" t="n"/>
      <c r="K109" s="10">
        <f>(Profiles!$B$3*(Profiles!$B$9*F109+Profiles!$B$8*IF(H109="",F109,H109)+Profiles!$B$10*IF(I109="",F109,I109))+Profiles!$C$3*G109)/1000000+Profiles!$D$3*IF(J109="",0,J109)</f>
        <v/>
      </c>
      <c r="L109" s="10">
        <f>(Profiles!$B$4*(Profiles!$B$9*F109+Profiles!$B$8*IF(H109="",F109,H109)+Profiles!$B$10*IF(I109="",F109,I109))+Profiles!$C$4*G109)/1000000+Profiles!$D$4*IF(J109="",0,J109)</f>
        <v/>
      </c>
      <c r="M109" s="10">
        <f>(Profiles!$B$5*(Profiles!$B$9*F109+Profiles!$B$8*IF(H109="",F109,H109)+Profiles!$B$10*IF(I109="",F109,I109))+Profiles!$C$5*G109)/1000000+Profiles!$D$5*IF(J109="",0,J109)</f>
        <v/>
      </c>
      <c r="N109" s="10">
        <f>K109+L109+M109</f>
        <v/>
      </c>
      <c r="O109" s="10">
        <f>3*N109</f>
        <v/>
      </c>
    </row>
    <row r="110">
      <c r="A110" t="n">
        <v>109</v>
      </c>
      <c r="B110" t="inlineStr">
        <is>
          <t>anthropic/claude-opus-4.5</t>
        </is>
      </c>
      <c r="C110" t="inlineStr">
        <is>
          <t>2025-11-24</t>
        </is>
      </c>
      <c r="D110" t="inlineStr"/>
      <c r="E110" t="inlineStr"/>
      <c r="F110" s="9" t="n">
        <v>5</v>
      </c>
      <c r="G110" s="9" t="n">
        <v>25</v>
      </c>
      <c r="H110" s="9" t="n">
        <v>0.5</v>
      </c>
      <c r="I110" s="9" t="n">
        <v>6.25</v>
      </c>
      <c r="J110" s="9" t="n"/>
      <c r="K110" s="10">
        <f>(Profiles!$B$3*(Profiles!$B$9*F110+Profiles!$B$8*IF(H110="",F110,H110)+Profiles!$B$10*IF(I110="",F110,I110))+Profiles!$C$3*G110)/1000000+Profiles!$D$3*IF(J110="",0,J110)</f>
        <v/>
      </c>
      <c r="L110" s="10">
        <f>(Profiles!$B$4*(Profiles!$B$9*F110+Profiles!$B$8*IF(H110="",F110,H110)+Profiles!$B$10*IF(I110="",F110,I110))+Profiles!$C$4*G110)/1000000+Profiles!$D$4*IF(J110="",0,J110)</f>
        <v/>
      </c>
      <c r="M110" s="10">
        <f>(Profiles!$B$5*(Profiles!$B$9*F110+Profiles!$B$8*IF(H110="",F110,H110)+Profiles!$B$10*IF(I110="",F110,I110))+Profiles!$C$5*G110)/1000000+Profiles!$D$5*IF(J110="",0,J110)</f>
        <v/>
      </c>
      <c r="N110" s="10">
        <f>K110+L110+M110</f>
        <v/>
      </c>
      <c r="O110" s="10">
        <f>3*N110</f>
        <v/>
      </c>
    </row>
    <row r="111">
      <c r="A111" t="n">
        <v>110</v>
      </c>
      <c r="B111" t="inlineStr">
        <is>
          <t>openai/gpt-5.1</t>
        </is>
      </c>
      <c r="C111" t="inlineStr">
        <is>
          <t>2025-11-13</t>
        </is>
      </c>
      <c r="D111" t="inlineStr"/>
      <c r="E111" t="inlineStr"/>
      <c r="F111" s="9" t="n">
        <v>1.25</v>
      </c>
      <c r="G111" s="9" t="n">
        <v>10</v>
      </c>
      <c r="H111" s="9" t="n">
        <v>0.125</v>
      </c>
      <c r="I111" s="9" t="n"/>
      <c r="J111" s="9" t="n"/>
      <c r="K111" s="10">
        <f>(Profiles!$B$3*(Profiles!$B$9*F111+Profiles!$B$8*IF(H111="",F111,H111)+Profiles!$B$10*IF(I111="",F111,I111))+Profiles!$C$3*G111)/1000000+Profiles!$D$3*IF(J111="",0,J111)</f>
        <v/>
      </c>
      <c r="L111" s="10">
        <f>(Profiles!$B$4*(Profiles!$B$9*F111+Profiles!$B$8*IF(H111="",F111,H111)+Profiles!$B$10*IF(I111="",F111,I111))+Profiles!$C$4*G111)/1000000+Profiles!$D$4*IF(J111="",0,J111)</f>
        <v/>
      </c>
      <c r="M111" s="10">
        <f>(Profiles!$B$5*(Profiles!$B$9*F111+Profiles!$B$8*IF(H111="",F111,H111)+Profiles!$B$10*IF(I111="",F111,I111))+Profiles!$C$5*G111)/1000000+Profiles!$D$5*IF(J111="",0,J111)</f>
        <v/>
      </c>
      <c r="N111" s="10">
        <f>K111+L111+M111</f>
        <v/>
      </c>
      <c r="O111" s="10">
        <f>3*N111</f>
        <v/>
      </c>
    </row>
    <row r="112">
      <c r="A112" t="n">
        <v>111</v>
      </c>
      <c r="B112" t="inlineStr">
        <is>
          <t>openai/gpt-5.1-codex</t>
        </is>
      </c>
      <c r="C112" t="inlineStr">
        <is>
          <t>2025-11-13</t>
        </is>
      </c>
      <c r="D112" t="inlineStr"/>
      <c r="E112" t="inlineStr"/>
      <c r="F112" s="9" t="n">
        <v>1.25</v>
      </c>
      <c r="G112" s="9" t="n">
        <v>10</v>
      </c>
      <c r="H112" s="9" t="n">
        <v>0.13</v>
      </c>
      <c r="I112" s="9" t="n"/>
      <c r="J112" s="9" t="n"/>
      <c r="K112" s="10">
        <f>(Profiles!$B$3*(Profiles!$B$9*F112+Profiles!$B$8*IF(H112="",F112,H112)+Profiles!$B$10*IF(I112="",F112,I112))+Profiles!$C$3*G112)/1000000+Profiles!$D$3*IF(J112="",0,J112)</f>
        <v/>
      </c>
      <c r="L112" s="10">
        <f>(Profiles!$B$4*(Profiles!$B$9*F112+Profiles!$B$8*IF(H112="",F112,H112)+Profiles!$B$10*IF(I112="",F112,I112))+Profiles!$C$4*G112)/1000000+Profiles!$D$4*IF(J112="",0,J112)</f>
        <v/>
      </c>
      <c r="M112" s="10">
        <f>(Profiles!$B$5*(Profiles!$B$9*F112+Profiles!$B$8*IF(H112="",F112,H112)+Profiles!$B$10*IF(I112="",F112,I112))+Profiles!$C$5*G112)/1000000+Profiles!$D$5*IF(J112="",0,J112)</f>
        <v/>
      </c>
      <c r="N112" s="10">
        <f>K112+L112+M112</f>
        <v/>
      </c>
      <c r="O112" s="10">
        <f>3*N112</f>
        <v/>
      </c>
    </row>
    <row r="113">
      <c r="A113" t="n">
        <v>112</v>
      </c>
      <c r="B113" t="inlineStr">
        <is>
          <t>openai/gpt-5.1-codex-mini</t>
        </is>
      </c>
      <c r="C113" t="inlineStr">
        <is>
          <t>2025-11-13</t>
        </is>
      </c>
      <c r="D113" t="inlineStr"/>
      <c r="E113" t="inlineStr"/>
      <c r="F113" s="9" t="n">
        <v>0.25</v>
      </c>
      <c r="G113" s="9" t="n">
        <v>2</v>
      </c>
      <c r="H113" s="9" t="n">
        <v>0.03</v>
      </c>
      <c r="I113" s="9" t="n"/>
      <c r="J113" s="9" t="n"/>
      <c r="K113" s="10">
        <f>(Profiles!$B$3*(Profiles!$B$9*F113+Profiles!$B$8*IF(H113="",F113,H113)+Profiles!$B$10*IF(I113="",F113,I113))+Profiles!$C$3*G113)/1000000+Profiles!$D$3*IF(J113="",0,J113)</f>
        <v/>
      </c>
      <c r="L113" s="10">
        <f>(Profiles!$B$4*(Profiles!$B$9*F113+Profiles!$B$8*IF(H113="",F113,H113)+Profiles!$B$10*IF(I113="",F113,I113))+Profiles!$C$4*G113)/1000000+Profiles!$D$4*IF(J113="",0,J113)</f>
        <v/>
      </c>
      <c r="M113" s="10">
        <f>(Profiles!$B$5*(Profiles!$B$9*F113+Profiles!$B$8*IF(H113="",F113,H113)+Profiles!$B$10*IF(I113="",F113,I113))+Profiles!$C$5*G113)/1000000+Profiles!$D$5*IF(J113="",0,J113)</f>
        <v/>
      </c>
      <c r="N113" s="10">
        <f>K113+L113+M113</f>
        <v/>
      </c>
      <c r="O113" s="10">
        <f>3*N113</f>
        <v/>
      </c>
    </row>
    <row r="114">
      <c r="A114" t="n">
        <v>113</v>
      </c>
      <c r="B114" t="inlineStr">
        <is>
          <t>amazon/nova-premier-v1</t>
        </is>
      </c>
      <c r="C114" t="inlineStr">
        <is>
          <t>2025-10-31</t>
        </is>
      </c>
      <c r="D114" t="inlineStr"/>
      <c r="E114" t="inlineStr"/>
      <c r="F114" s="9" t="n">
        <v>2.5</v>
      </c>
      <c r="G114" s="9" t="n">
        <v>12.5</v>
      </c>
      <c r="H114" s="9" t="n">
        <v>0.625</v>
      </c>
      <c r="I114" s="9" t="n"/>
      <c r="J114" s="9" t="n"/>
      <c r="K114" s="10">
        <f>(Profiles!$B$3*(Profiles!$B$9*F114+Profiles!$B$8*IF(H114="",F114,H114)+Profiles!$B$10*IF(I114="",F114,I114))+Profiles!$C$3*G114)/1000000+Profiles!$D$3*IF(J114="",0,J114)</f>
        <v/>
      </c>
      <c r="L114" s="10">
        <f>(Profiles!$B$4*(Profiles!$B$9*F114+Profiles!$B$8*IF(H114="",F114,H114)+Profiles!$B$10*IF(I114="",F114,I114))+Profiles!$C$4*G114)/1000000+Profiles!$D$4*IF(J114="",0,J114)</f>
        <v/>
      </c>
      <c r="M114" s="10">
        <f>(Profiles!$B$5*(Profiles!$B$9*F114+Profiles!$B$8*IF(H114="",F114,H114)+Profiles!$B$10*IF(I114="",F114,I114))+Profiles!$C$5*G114)/1000000+Profiles!$D$5*IF(J114="",0,J114)</f>
        <v/>
      </c>
      <c r="N114" s="10">
        <f>K114+L114+M114</f>
        <v/>
      </c>
      <c r="O114" s="10">
        <f>3*N114</f>
        <v/>
      </c>
    </row>
    <row r="115">
      <c r="A115" t="n">
        <v>114</v>
      </c>
      <c r="B115" t="inlineStr">
        <is>
          <t>qwen/qwen3-vl-32b-instruct</t>
        </is>
      </c>
      <c r="C115" t="inlineStr">
        <is>
          <t>2025-10-23</t>
        </is>
      </c>
      <c r="D115" t="inlineStr"/>
      <c r="E115" t="inlineStr"/>
      <c r="F115" s="9" t="n">
        <v>0.104</v>
      </c>
      <c r="G115" s="9" t="n">
        <v>0.416</v>
      </c>
      <c r="H115" s="9" t="n"/>
      <c r="I115" s="9" t="n"/>
      <c r="J115" s="9" t="n"/>
      <c r="K115" s="10">
        <f>(Profiles!$B$3*(Profiles!$B$9*F115+Profiles!$B$8*IF(H115="",F115,H115)+Profiles!$B$10*IF(I115="",F115,I115))+Profiles!$C$3*G115)/1000000+Profiles!$D$3*IF(J115="",0,J115)</f>
        <v/>
      </c>
      <c r="L115" s="10">
        <f>(Profiles!$B$4*(Profiles!$B$9*F115+Profiles!$B$8*IF(H115="",F115,H115)+Profiles!$B$10*IF(I115="",F115,I115))+Profiles!$C$4*G115)/1000000+Profiles!$D$4*IF(J115="",0,J115)</f>
        <v/>
      </c>
      <c r="M115" s="10">
        <f>(Profiles!$B$5*(Profiles!$B$9*F115+Profiles!$B$8*IF(H115="",F115,H115)+Profiles!$B$10*IF(I115="",F115,I115))+Profiles!$C$5*G115)/1000000+Profiles!$D$5*IF(J115="",0,J115)</f>
        <v/>
      </c>
      <c r="N115" s="10">
        <f>K115+L115+M115</f>
        <v/>
      </c>
      <c r="O115" s="10">
        <f>3*N115</f>
        <v/>
      </c>
    </row>
    <row r="116">
      <c r="A116" t="n">
        <v>115</v>
      </c>
      <c r="B116" t="inlineStr">
        <is>
          <t>anthropic/claude-haiku-4.5</t>
        </is>
      </c>
      <c r="C116" t="inlineStr">
        <is>
          <t>2025-10-15</t>
        </is>
      </c>
      <c r="D116" t="inlineStr"/>
      <c r="E116" t="inlineStr"/>
      <c r="F116" s="9" t="n">
        <v>1</v>
      </c>
      <c r="G116" s="9" t="n">
        <v>5</v>
      </c>
      <c r="H116" s="9" t="n">
        <v>0.09999999999999999</v>
      </c>
      <c r="I116" s="9" t="n">
        <v>1.25</v>
      </c>
      <c r="J116" s="9" t="n"/>
      <c r="K116" s="10">
        <f>(Profiles!$B$3*(Profiles!$B$9*F116+Profiles!$B$8*IF(H116="",F116,H116)+Profiles!$B$10*IF(I116="",F116,I116))+Profiles!$C$3*G116)/1000000+Profiles!$D$3*IF(J116="",0,J116)</f>
        <v/>
      </c>
      <c r="L116" s="10">
        <f>(Profiles!$B$4*(Profiles!$B$9*F116+Profiles!$B$8*IF(H116="",F116,H116)+Profiles!$B$10*IF(I116="",F116,I116))+Profiles!$C$4*G116)/1000000+Profiles!$D$4*IF(J116="",0,J116)</f>
        <v/>
      </c>
      <c r="M116" s="10">
        <f>(Profiles!$B$5*(Profiles!$B$9*F116+Profiles!$B$8*IF(H116="",F116,H116)+Profiles!$B$10*IF(I116="",F116,I116))+Profiles!$C$5*G116)/1000000+Profiles!$D$5*IF(J116="",0,J116)</f>
        <v/>
      </c>
      <c r="N116" s="10">
        <f>K116+L116+M116</f>
        <v/>
      </c>
      <c r="O116" s="10">
        <f>3*N116</f>
        <v/>
      </c>
    </row>
    <row r="117">
      <c r="A117" t="n">
        <v>116</v>
      </c>
      <c r="B117" t="inlineStr">
        <is>
          <t>qwen/qwen3-vl-8b-thinking</t>
        </is>
      </c>
      <c r="C117" t="inlineStr">
        <is>
          <t>2025-10-14</t>
        </is>
      </c>
      <c r="D117" t="inlineStr"/>
      <c r="E117" t="inlineStr"/>
      <c r="F117" s="9" t="n">
        <v>0.18</v>
      </c>
      <c r="G117" s="9" t="n">
        <v>2.1</v>
      </c>
      <c r="H117" s="9" t="n"/>
      <c r="I117" s="9" t="n"/>
      <c r="J117" s="9" t="n"/>
      <c r="K117" s="10">
        <f>(Profiles!$B$3*(Profiles!$B$9*F117+Profiles!$B$8*IF(H117="",F117,H117)+Profiles!$B$10*IF(I117="",F117,I117))+Profiles!$C$3*G117)/1000000+Profiles!$D$3*IF(J117="",0,J117)</f>
        <v/>
      </c>
      <c r="L117" s="10">
        <f>(Profiles!$B$4*(Profiles!$B$9*F117+Profiles!$B$8*IF(H117="",F117,H117)+Profiles!$B$10*IF(I117="",F117,I117))+Profiles!$C$4*G117)/1000000+Profiles!$D$4*IF(J117="",0,J117)</f>
        <v/>
      </c>
      <c r="M117" s="10">
        <f>(Profiles!$B$5*(Profiles!$B$9*F117+Profiles!$B$8*IF(H117="",F117,H117)+Profiles!$B$10*IF(I117="",F117,I117))+Profiles!$C$5*G117)/1000000+Profiles!$D$5*IF(J117="",0,J117)</f>
        <v/>
      </c>
      <c r="N117" s="10">
        <f>K117+L117+M117</f>
        <v/>
      </c>
      <c r="O117" s="10">
        <f>3*N117</f>
        <v/>
      </c>
    </row>
    <row r="118">
      <c r="A118" t="n">
        <v>117</v>
      </c>
      <c r="B118" t="inlineStr">
        <is>
          <t>qwen/qwen3-vl-8b-instruct</t>
        </is>
      </c>
      <c r="C118" t="inlineStr">
        <is>
          <t>2025-10-14</t>
        </is>
      </c>
      <c r="D118" t="inlineStr"/>
      <c r="E118" t="inlineStr"/>
      <c r="F118" s="9" t="n">
        <v>0.117</v>
      </c>
      <c r="G118" s="9" t="n">
        <v>0.455</v>
      </c>
      <c r="H118" s="9" t="n"/>
      <c r="I118" s="9" t="n"/>
      <c r="J118" s="9" t="n"/>
      <c r="K118" s="10">
        <f>(Profiles!$B$3*(Profiles!$B$9*F118+Profiles!$B$8*IF(H118="",F118,H118)+Profiles!$B$10*IF(I118="",F118,I118))+Profiles!$C$3*G118)/1000000+Profiles!$D$3*IF(J118="",0,J118)</f>
        <v/>
      </c>
      <c r="L118" s="10">
        <f>(Profiles!$B$4*(Profiles!$B$9*F118+Profiles!$B$8*IF(H118="",F118,H118)+Profiles!$B$10*IF(I118="",F118,I118))+Profiles!$C$4*G118)/1000000+Profiles!$D$4*IF(J118="",0,J118)</f>
        <v/>
      </c>
      <c r="M118" s="10">
        <f>(Profiles!$B$5*(Profiles!$B$9*F118+Profiles!$B$8*IF(H118="",F118,H118)+Profiles!$B$10*IF(I118="",F118,I118))+Profiles!$C$5*G118)/1000000+Profiles!$D$5*IF(J118="",0,J118)</f>
        <v/>
      </c>
      <c r="N118" s="10">
        <f>K118+L118+M118</f>
        <v/>
      </c>
      <c r="O118" s="10">
        <f>3*N118</f>
        <v/>
      </c>
    </row>
    <row r="119">
      <c r="A119" t="n">
        <v>118</v>
      </c>
      <c r="B119" t="inlineStr">
        <is>
          <t>qwen/qwen3-vl-30b-a3b-thinking</t>
        </is>
      </c>
      <c r="C119" t="inlineStr">
        <is>
          <t>2025-10-07</t>
        </is>
      </c>
      <c r="D119" t="inlineStr"/>
      <c r="E119" t="inlineStr"/>
      <c r="F119" s="9" t="n">
        <v>0.2</v>
      </c>
      <c r="G119" s="9" t="n">
        <v>2.4</v>
      </c>
      <c r="H119" s="9" t="n"/>
      <c r="I119" s="9" t="n"/>
      <c r="J119" s="9" t="n"/>
      <c r="K119" s="10">
        <f>(Profiles!$B$3*(Profiles!$B$9*F119+Profiles!$B$8*IF(H119="",F119,H119)+Profiles!$B$10*IF(I119="",F119,I119))+Profiles!$C$3*G119)/1000000+Profiles!$D$3*IF(J119="",0,J119)</f>
        <v/>
      </c>
      <c r="L119" s="10">
        <f>(Profiles!$B$4*(Profiles!$B$9*F119+Profiles!$B$8*IF(H119="",F119,H119)+Profiles!$B$10*IF(I119="",F119,I119))+Profiles!$C$4*G119)/1000000+Profiles!$D$4*IF(J119="",0,J119)</f>
        <v/>
      </c>
      <c r="M119" s="10">
        <f>(Profiles!$B$5*(Profiles!$B$9*F119+Profiles!$B$8*IF(H119="",F119,H119)+Profiles!$B$10*IF(I119="",F119,I119))+Profiles!$C$5*G119)/1000000+Profiles!$D$5*IF(J119="",0,J119)</f>
        <v/>
      </c>
      <c r="N119" s="10">
        <f>K119+L119+M119</f>
        <v/>
      </c>
      <c r="O119" s="10">
        <f>3*N119</f>
        <v/>
      </c>
    </row>
    <row r="120">
      <c r="A120" t="n">
        <v>119</v>
      </c>
      <c r="B120" t="inlineStr">
        <is>
          <t>qwen/qwen3-vl-30b-a3b-instruct</t>
        </is>
      </c>
      <c r="C120" t="inlineStr">
        <is>
          <t>2025-10-07</t>
        </is>
      </c>
      <c r="D120" t="inlineStr"/>
      <c r="E120" t="inlineStr"/>
      <c r="F120" s="9" t="n">
        <v>0.15</v>
      </c>
      <c r="G120" s="9" t="n">
        <v>0.6</v>
      </c>
      <c r="H120" s="9" t="n"/>
      <c r="I120" s="9" t="n"/>
      <c r="J120" s="9" t="n"/>
      <c r="K120" s="10">
        <f>(Profiles!$B$3*(Profiles!$B$9*F120+Profiles!$B$8*IF(H120="",F120,H120)+Profiles!$B$10*IF(I120="",F120,I120))+Profiles!$C$3*G120)/1000000+Profiles!$D$3*IF(J120="",0,J120)</f>
        <v/>
      </c>
      <c r="L120" s="10">
        <f>(Profiles!$B$4*(Profiles!$B$9*F120+Profiles!$B$8*IF(H120="",F120,H120)+Profiles!$B$10*IF(I120="",F120,I120))+Profiles!$C$4*G120)/1000000+Profiles!$D$4*IF(J120="",0,J120)</f>
        <v/>
      </c>
      <c r="M120" s="10">
        <f>(Profiles!$B$5*(Profiles!$B$9*F120+Profiles!$B$8*IF(H120="",F120,H120)+Profiles!$B$10*IF(I120="",F120,I120))+Profiles!$C$5*G120)/1000000+Profiles!$D$5*IF(J120="",0,J120)</f>
        <v/>
      </c>
      <c r="N120" s="10">
        <f>K120+L120+M120</f>
        <v/>
      </c>
      <c r="O120" s="10">
        <f>3*N120</f>
        <v/>
      </c>
    </row>
    <row r="121">
      <c r="A121" t="n">
        <v>120</v>
      </c>
      <c r="B121" t="inlineStr">
        <is>
          <t>anthropic/claude-sonnet-4.5</t>
        </is>
      </c>
      <c r="C121" t="inlineStr">
        <is>
          <t>2025-09-29</t>
        </is>
      </c>
      <c r="D121" t="inlineStr"/>
      <c r="E121" t="inlineStr"/>
      <c r="F121" s="9" t="n">
        <v>3</v>
      </c>
      <c r="G121" s="9" t="n">
        <v>15</v>
      </c>
      <c r="H121" s="9" t="n">
        <v>0.3</v>
      </c>
      <c r="I121" s="9" t="n">
        <v>3.75</v>
      </c>
      <c r="J121" s="9" t="n"/>
      <c r="K121" s="10">
        <f>(Profiles!$B$3*(Profiles!$B$9*F121+Profiles!$B$8*IF(H121="",F121,H121)+Profiles!$B$10*IF(I121="",F121,I121))+Profiles!$C$3*G121)/1000000+Profiles!$D$3*IF(J121="",0,J121)</f>
        <v/>
      </c>
      <c r="L121" s="10">
        <f>(Profiles!$B$4*(Profiles!$B$9*F121+Profiles!$B$8*IF(H121="",F121,H121)+Profiles!$B$10*IF(I121="",F121,I121))+Profiles!$C$4*G121)/1000000+Profiles!$D$4*IF(J121="",0,J121)</f>
        <v/>
      </c>
      <c r="M121" s="10">
        <f>(Profiles!$B$5*(Profiles!$B$9*F121+Profiles!$B$8*IF(H121="",F121,H121)+Profiles!$B$10*IF(I121="",F121,I121))+Profiles!$C$5*G121)/1000000+Profiles!$D$5*IF(J121="",0,J121)</f>
        <v/>
      </c>
      <c r="N121" s="10">
        <f>K121+L121+M121</f>
        <v/>
      </c>
      <c r="O121" s="10">
        <f>3*N121</f>
        <v/>
      </c>
    </row>
    <row r="122">
      <c r="A122" t="n">
        <v>121</v>
      </c>
      <c r="B122" t="inlineStr">
        <is>
          <t>qwen/qwen3-vl-235b-a22b-thinking</t>
        </is>
      </c>
      <c r="C122" t="inlineStr">
        <is>
          <t>2025-09-24</t>
        </is>
      </c>
      <c r="D122" t="inlineStr"/>
      <c r="E122" t="inlineStr"/>
      <c r="F122" s="9" t="n">
        <v>0.4</v>
      </c>
      <c r="G122" s="9" t="n">
        <v>4</v>
      </c>
      <c r="H122" s="9" t="n"/>
      <c r="I122" s="9" t="n"/>
      <c r="J122" s="9" t="n"/>
      <c r="K122" s="10">
        <f>(Profiles!$B$3*(Profiles!$B$9*F122+Profiles!$B$8*IF(H122="",F122,H122)+Profiles!$B$10*IF(I122="",F122,I122))+Profiles!$C$3*G122)/1000000+Profiles!$D$3*IF(J122="",0,J122)</f>
        <v/>
      </c>
      <c r="L122" s="10">
        <f>(Profiles!$B$4*(Profiles!$B$9*F122+Profiles!$B$8*IF(H122="",F122,H122)+Profiles!$B$10*IF(I122="",F122,I122))+Profiles!$C$4*G122)/1000000+Profiles!$D$4*IF(J122="",0,J122)</f>
        <v/>
      </c>
      <c r="M122" s="10">
        <f>(Profiles!$B$5*(Profiles!$B$9*F122+Profiles!$B$8*IF(H122="",F122,H122)+Profiles!$B$10*IF(I122="",F122,I122))+Profiles!$C$5*G122)/1000000+Profiles!$D$5*IF(J122="",0,J122)</f>
        <v/>
      </c>
      <c r="N122" s="10">
        <f>K122+L122+M122</f>
        <v/>
      </c>
      <c r="O122" s="10">
        <f>3*N122</f>
        <v/>
      </c>
    </row>
    <row r="123">
      <c r="A123" t="n">
        <v>122</v>
      </c>
      <c r="B123" t="inlineStr">
        <is>
          <t>qwen/qwen3-vl-235b-a22b-instruct</t>
        </is>
      </c>
      <c r="C123" t="inlineStr">
        <is>
          <t>2025-09-24</t>
        </is>
      </c>
      <c r="D123" t="inlineStr"/>
      <c r="E123" t="inlineStr"/>
      <c r="F123" s="9" t="n">
        <v>0.21</v>
      </c>
      <c r="G123" s="9" t="n">
        <v>1.9</v>
      </c>
      <c r="H123" s="9" t="n">
        <v>0.09999999999999999</v>
      </c>
      <c r="I123" s="9" t="n"/>
      <c r="J123" s="9" t="n"/>
      <c r="K123" s="10">
        <f>(Profiles!$B$3*(Profiles!$B$9*F123+Profiles!$B$8*IF(H123="",F123,H123)+Profiles!$B$10*IF(I123="",F123,I123))+Profiles!$C$3*G123)/1000000+Profiles!$D$3*IF(J123="",0,J123)</f>
        <v/>
      </c>
      <c r="L123" s="10">
        <f>(Profiles!$B$4*(Profiles!$B$9*F123+Profiles!$B$8*IF(H123="",F123,H123)+Profiles!$B$10*IF(I123="",F123,I123))+Profiles!$C$4*G123)/1000000+Profiles!$D$4*IF(J123="",0,J123)</f>
        <v/>
      </c>
      <c r="M123" s="10">
        <f>(Profiles!$B$5*(Profiles!$B$9*F123+Profiles!$B$8*IF(H123="",F123,H123)+Profiles!$B$10*IF(I123="",F123,I123))+Profiles!$C$5*G123)/1000000+Profiles!$D$5*IF(J123="",0,J123)</f>
        <v/>
      </c>
      <c r="N123" s="10">
        <f>K123+L123+M123</f>
        <v/>
      </c>
      <c r="O123" s="10">
        <f>3*N123</f>
        <v/>
      </c>
    </row>
    <row r="124">
      <c r="A124" t="n">
        <v>123</v>
      </c>
      <c r="B124" t="inlineStr">
        <is>
          <t>mistralai/mistral-medium-3.1</t>
        </is>
      </c>
      <c r="C124" t="inlineStr">
        <is>
          <t>2025-08-13</t>
        </is>
      </c>
      <c r="D124" t="inlineStr"/>
      <c r="E124" t="inlineStr"/>
      <c r="F124" s="9" t="n">
        <v>0.4</v>
      </c>
      <c r="G124" s="9" t="n">
        <v>2</v>
      </c>
      <c r="H124" s="9" t="n">
        <v>0.04</v>
      </c>
      <c r="I124" s="9" t="n"/>
      <c r="J124" s="9" t="n"/>
      <c r="K124" s="10">
        <f>(Profiles!$B$3*(Profiles!$B$9*F124+Profiles!$B$8*IF(H124="",F124,H124)+Profiles!$B$10*IF(I124="",F124,I124))+Profiles!$C$3*G124)/1000000+Profiles!$D$3*IF(J124="",0,J124)</f>
        <v/>
      </c>
      <c r="L124" s="10">
        <f>(Profiles!$B$4*(Profiles!$B$9*F124+Profiles!$B$8*IF(H124="",F124,H124)+Profiles!$B$10*IF(I124="",F124,I124))+Profiles!$C$4*G124)/1000000+Profiles!$D$4*IF(J124="",0,J124)</f>
        <v/>
      </c>
      <c r="M124" s="10">
        <f>(Profiles!$B$5*(Profiles!$B$9*F124+Profiles!$B$8*IF(H124="",F124,H124)+Profiles!$B$10*IF(I124="",F124,I124))+Profiles!$C$5*G124)/1000000+Profiles!$D$5*IF(J124="",0,J124)</f>
        <v/>
      </c>
      <c r="N124" s="10">
        <f>K124+L124+M124</f>
        <v/>
      </c>
      <c r="O124" s="10">
        <f>3*N124</f>
        <v/>
      </c>
    </row>
    <row r="125">
      <c r="A125" t="n">
        <v>124</v>
      </c>
      <c r="B125" t="inlineStr">
        <is>
          <t>z-ai/glm-4.5v</t>
        </is>
      </c>
      <c r="C125" t="inlineStr">
        <is>
          <t>2025-08-11</t>
        </is>
      </c>
      <c r="D125" t="inlineStr"/>
      <c r="E125" t="inlineStr"/>
      <c r="F125" s="9" t="n">
        <v>0.6</v>
      </c>
      <c r="G125" s="9" t="n">
        <v>1.8</v>
      </c>
      <c r="H125" s="9" t="n">
        <v>0.11</v>
      </c>
      <c r="I125" s="9" t="n"/>
      <c r="J125" s="9" t="n"/>
      <c r="K125" s="10">
        <f>(Profiles!$B$3*(Profiles!$B$9*F125+Profiles!$B$8*IF(H125="",F125,H125)+Profiles!$B$10*IF(I125="",F125,I125))+Profiles!$C$3*G125)/1000000+Profiles!$D$3*IF(J125="",0,J125)</f>
        <v/>
      </c>
      <c r="L125" s="10">
        <f>(Profiles!$B$4*(Profiles!$B$9*F125+Profiles!$B$8*IF(H125="",F125,H125)+Profiles!$B$10*IF(I125="",F125,I125))+Profiles!$C$4*G125)/1000000+Profiles!$D$4*IF(J125="",0,J125)</f>
        <v/>
      </c>
      <c r="M125" s="10">
        <f>(Profiles!$B$5*(Profiles!$B$9*F125+Profiles!$B$8*IF(H125="",F125,H125)+Profiles!$B$10*IF(I125="",F125,I125))+Profiles!$C$5*G125)/1000000+Profiles!$D$5*IF(J125="",0,J125)</f>
        <v/>
      </c>
      <c r="N125" s="10">
        <f>K125+L125+M125</f>
        <v/>
      </c>
      <c r="O125" s="10">
        <f>3*N125</f>
        <v/>
      </c>
    </row>
    <row r="126">
      <c r="A126" t="n">
        <v>125</v>
      </c>
      <c r="B126" t="inlineStr">
        <is>
          <t>openai/gpt-5</t>
        </is>
      </c>
      <c r="C126" t="inlineStr">
        <is>
          <t>2025-08-07</t>
        </is>
      </c>
      <c r="D126" t="inlineStr"/>
      <c r="E126" t="inlineStr"/>
      <c r="F126" s="9" t="n">
        <v>1.25</v>
      </c>
      <c r="G126" s="9" t="n">
        <v>10</v>
      </c>
      <c r="H126" s="9" t="n">
        <v>0.125</v>
      </c>
      <c r="I126" s="9" t="n"/>
      <c r="J126" s="9" t="n"/>
      <c r="K126" s="10">
        <f>(Profiles!$B$3*(Profiles!$B$9*F126+Profiles!$B$8*IF(H126="",F126,H126)+Profiles!$B$10*IF(I126="",F126,I126))+Profiles!$C$3*G126)/1000000+Profiles!$D$3*IF(J126="",0,J126)</f>
        <v/>
      </c>
      <c r="L126" s="10">
        <f>(Profiles!$B$4*(Profiles!$B$9*F126+Profiles!$B$8*IF(H126="",F126,H126)+Profiles!$B$10*IF(I126="",F126,I126))+Profiles!$C$4*G126)/1000000+Profiles!$D$4*IF(J126="",0,J126)</f>
        <v/>
      </c>
      <c r="M126" s="10">
        <f>(Profiles!$B$5*(Profiles!$B$9*F126+Profiles!$B$8*IF(H126="",F126,H126)+Profiles!$B$10*IF(I126="",F126,I126))+Profiles!$C$5*G126)/1000000+Profiles!$D$5*IF(J126="",0,J126)</f>
        <v/>
      </c>
      <c r="N126" s="10">
        <f>K126+L126+M126</f>
        <v/>
      </c>
      <c r="O126" s="10">
        <f>3*N126</f>
        <v/>
      </c>
    </row>
    <row r="127">
      <c r="A127" t="n">
        <v>126</v>
      </c>
      <c r="B127" t="inlineStr">
        <is>
          <t>openai/gpt-5-mini</t>
        </is>
      </c>
      <c r="C127" t="inlineStr">
        <is>
          <t>2025-08-07</t>
        </is>
      </c>
      <c r="D127" t="inlineStr"/>
      <c r="E127" t="inlineStr"/>
      <c r="F127" s="9" t="n">
        <v>0.25</v>
      </c>
      <c r="G127" s="9" t="n">
        <v>2</v>
      </c>
      <c r="H127" s="9" t="n">
        <v>0.025</v>
      </c>
      <c r="I127" s="9" t="n"/>
      <c r="J127" s="9" t="n"/>
      <c r="K127" s="10">
        <f>(Profiles!$B$3*(Profiles!$B$9*F127+Profiles!$B$8*IF(H127="",F127,H127)+Profiles!$B$10*IF(I127="",F127,I127))+Profiles!$C$3*G127)/1000000+Profiles!$D$3*IF(J127="",0,J127)</f>
        <v/>
      </c>
      <c r="L127" s="10">
        <f>(Profiles!$B$4*(Profiles!$B$9*F127+Profiles!$B$8*IF(H127="",F127,H127)+Profiles!$B$10*IF(I127="",F127,I127))+Profiles!$C$4*G127)/1000000+Profiles!$D$4*IF(J127="",0,J127)</f>
        <v/>
      </c>
      <c r="M127" s="10">
        <f>(Profiles!$B$5*(Profiles!$B$9*F127+Profiles!$B$8*IF(H127="",F127,H127)+Profiles!$B$10*IF(I127="",F127,I127))+Profiles!$C$5*G127)/1000000+Profiles!$D$5*IF(J127="",0,J127)</f>
        <v/>
      </c>
      <c r="N127" s="10">
        <f>K127+L127+M127</f>
        <v/>
      </c>
      <c r="O127" s="10">
        <f>3*N127</f>
        <v/>
      </c>
    </row>
    <row r="128">
      <c r="A128" t="n">
        <v>127</v>
      </c>
      <c r="B128" t="inlineStr">
        <is>
          <t>openai/gpt-5-nano</t>
        </is>
      </c>
      <c r="C128" t="inlineStr">
        <is>
          <t>2025-08-07</t>
        </is>
      </c>
      <c r="D128" t="inlineStr"/>
      <c r="E128" t="inlineStr"/>
      <c r="F128" s="9" t="n">
        <v>0.05</v>
      </c>
      <c r="G128" s="9" t="n">
        <v>0.4</v>
      </c>
      <c r="H128" s="9" t="n">
        <v>0.005</v>
      </c>
      <c r="I128" s="9" t="n"/>
      <c r="J128" s="9" t="n"/>
      <c r="K128" s="10">
        <f>(Profiles!$B$3*(Profiles!$B$9*F128+Profiles!$B$8*IF(H128="",F128,H128)+Profiles!$B$10*IF(I128="",F128,I128))+Profiles!$C$3*G128)/1000000+Profiles!$D$3*IF(J128="",0,J128)</f>
        <v/>
      </c>
      <c r="L128" s="10">
        <f>(Profiles!$B$4*(Profiles!$B$9*F128+Profiles!$B$8*IF(H128="",F128,H128)+Profiles!$B$10*IF(I128="",F128,I128))+Profiles!$C$4*G128)/1000000+Profiles!$D$4*IF(J128="",0,J128)</f>
        <v/>
      </c>
      <c r="M128" s="10">
        <f>(Profiles!$B$5*(Profiles!$B$9*F128+Profiles!$B$8*IF(H128="",F128,H128)+Profiles!$B$10*IF(I128="",F128,I128))+Profiles!$C$5*G128)/1000000+Profiles!$D$5*IF(J128="",0,J128)</f>
        <v/>
      </c>
      <c r="N128" s="10">
        <f>K128+L128+M128</f>
        <v/>
      </c>
      <c r="O128" s="10">
        <f>3*N128</f>
        <v/>
      </c>
    </row>
    <row r="129">
      <c r="A129" t="n">
        <v>128</v>
      </c>
      <c r="B129" t="inlineStr">
        <is>
          <t>anthropic/claude-opus-4.1</t>
        </is>
      </c>
      <c r="C129" t="inlineStr">
        <is>
          <t>2025-08-05</t>
        </is>
      </c>
      <c r="D129" t="inlineStr"/>
      <c r="E129" t="inlineStr"/>
      <c r="F129" s="9" t="n">
        <v>15</v>
      </c>
      <c r="G129" s="9" t="n">
        <v>75</v>
      </c>
      <c r="H129" s="9" t="n">
        <v>1.5</v>
      </c>
      <c r="I129" s="9" t="n">
        <v>18.75</v>
      </c>
      <c r="J129" s="9" t="n"/>
      <c r="K129" s="10">
        <f>(Profiles!$B$3*(Profiles!$B$9*F129+Profiles!$B$8*IF(H129="",F129,H129)+Profiles!$B$10*IF(I129="",F129,I129))+Profiles!$C$3*G129)/1000000+Profiles!$D$3*IF(J129="",0,J129)</f>
        <v/>
      </c>
      <c r="L129" s="10">
        <f>(Profiles!$B$4*(Profiles!$B$9*F129+Profiles!$B$8*IF(H129="",F129,H129)+Profiles!$B$10*IF(I129="",F129,I129))+Profiles!$C$4*G129)/1000000+Profiles!$D$4*IF(J129="",0,J129)</f>
        <v/>
      </c>
      <c r="M129" s="10">
        <f>(Profiles!$B$5*(Profiles!$B$9*F129+Profiles!$B$8*IF(H129="",F129,H129)+Profiles!$B$10*IF(I129="",F129,I129))+Profiles!$C$5*G129)/1000000+Profiles!$D$5*IF(J129="",0,J129)</f>
        <v/>
      </c>
      <c r="N129" s="10">
        <f>K129+L129+M129</f>
        <v/>
      </c>
      <c r="O129" s="10">
        <f>3*N129</f>
        <v/>
      </c>
    </row>
    <row r="130">
      <c r="A130" t="n">
        <v>129</v>
      </c>
      <c r="B130" t="inlineStr">
        <is>
          <t>google/gemini-2.5-flash-lite</t>
        </is>
      </c>
      <c r="C130" t="inlineStr">
        <is>
          <t>2025-07-22</t>
        </is>
      </c>
      <c r="D130" t="inlineStr"/>
      <c r="E130" t="inlineStr"/>
      <c r="F130" s="9" t="n">
        <v>0.09999999999999999</v>
      </c>
      <c r="G130" s="9" t="n">
        <v>0.4</v>
      </c>
      <c r="H130" s="9" t="n">
        <v>0.01</v>
      </c>
      <c r="I130" s="9" t="n">
        <v>0.0833333333333333</v>
      </c>
      <c r="J130" s="9" t="n">
        <v>1e-07</v>
      </c>
      <c r="K130" s="10">
        <f>(Profiles!$B$3*(Profiles!$B$9*F130+Profiles!$B$8*IF(H130="",F130,H130)+Profiles!$B$10*IF(I130="",F130,I130))+Profiles!$C$3*G130)/1000000+Profiles!$D$3*IF(J130="",0,J130)</f>
        <v/>
      </c>
      <c r="L130" s="10">
        <f>(Profiles!$B$4*(Profiles!$B$9*F130+Profiles!$B$8*IF(H130="",F130,H130)+Profiles!$B$10*IF(I130="",F130,I130))+Profiles!$C$4*G130)/1000000+Profiles!$D$4*IF(J130="",0,J130)</f>
        <v/>
      </c>
      <c r="M130" s="10">
        <f>(Profiles!$B$5*(Profiles!$B$9*F130+Profiles!$B$8*IF(H130="",F130,H130)+Profiles!$B$10*IF(I130="",F130,I130))+Profiles!$C$5*G130)/1000000+Profiles!$D$5*IF(J130="",0,J130)</f>
        <v/>
      </c>
      <c r="N130" s="10">
        <f>K130+L130+M130</f>
        <v/>
      </c>
      <c r="O130" s="10">
        <f>3*N130</f>
        <v/>
      </c>
    </row>
    <row r="131">
      <c r="A131" t="n">
        <v>130</v>
      </c>
      <c r="B131" t="inlineStr">
        <is>
          <t>mistralai/mistral-small-3.2-24b-instruct</t>
        </is>
      </c>
      <c r="C131" t="inlineStr">
        <is>
          <t>2025-06-20</t>
        </is>
      </c>
      <c r="D131" t="inlineStr"/>
      <c r="E131" t="inlineStr"/>
      <c r="F131" s="9" t="n">
        <v>0.09375</v>
      </c>
      <c r="G131" s="9" t="n">
        <v>0.25</v>
      </c>
      <c r="H131" s="9" t="n"/>
      <c r="I131" s="9" t="n"/>
      <c r="J131" s="9" t="n"/>
      <c r="K131" s="10">
        <f>(Profiles!$B$3*(Profiles!$B$9*F131+Profiles!$B$8*IF(H131="",F131,H131)+Profiles!$B$10*IF(I131="",F131,I131))+Profiles!$C$3*G131)/1000000+Profiles!$D$3*IF(J131="",0,J131)</f>
        <v/>
      </c>
      <c r="L131" s="10">
        <f>(Profiles!$B$4*(Profiles!$B$9*F131+Profiles!$B$8*IF(H131="",F131,H131)+Profiles!$B$10*IF(I131="",F131,I131))+Profiles!$C$4*G131)/1000000+Profiles!$D$4*IF(J131="",0,J131)</f>
        <v/>
      </c>
      <c r="M131" s="10">
        <f>(Profiles!$B$5*(Profiles!$B$9*F131+Profiles!$B$8*IF(H131="",F131,H131)+Profiles!$B$10*IF(I131="",F131,I131))+Profiles!$C$5*G131)/1000000+Profiles!$D$5*IF(J131="",0,J131)</f>
        <v/>
      </c>
      <c r="N131" s="10">
        <f>K131+L131+M131</f>
        <v/>
      </c>
      <c r="O131" s="10">
        <f>3*N131</f>
        <v/>
      </c>
    </row>
    <row r="132">
      <c r="A132" t="n">
        <v>131</v>
      </c>
      <c r="B132" t="inlineStr">
        <is>
          <t>google/gemini-2.5-flash</t>
        </is>
      </c>
      <c r="C132" t="inlineStr">
        <is>
          <t>2025-06-17</t>
        </is>
      </c>
      <c r="D132" t="inlineStr"/>
      <c r="E132" t="inlineStr"/>
      <c r="F132" s="9" t="n">
        <v>0.3</v>
      </c>
      <c r="G132" s="9" t="n">
        <v>2.5</v>
      </c>
      <c r="H132" s="9" t="n">
        <v>0.03</v>
      </c>
      <c r="I132" s="9" t="n">
        <v>0.0833333333333333</v>
      </c>
      <c r="J132" s="9" t="n">
        <v>3e-07</v>
      </c>
      <c r="K132" s="10">
        <f>(Profiles!$B$3*(Profiles!$B$9*F132+Profiles!$B$8*IF(H132="",F132,H132)+Profiles!$B$10*IF(I132="",F132,I132))+Profiles!$C$3*G132)/1000000+Profiles!$D$3*IF(J132="",0,J132)</f>
        <v/>
      </c>
      <c r="L132" s="10">
        <f>(Profiles!$B$4*(Profiles!$B$9*F132+Profiles!$B$8*IF(H132="",F132,H132)+Profiles!$B$10*IF(I132="",F132,I132))+Profiles!$C$4*G132)/1000000+Profiles!$D$4*IF(J132="",0,J132)</f>
        <v/>
      </c>
      <c r="M132" s="10">
        <f>(Profiles!$B$5*(Profiles!$B$9*F132+Profiles!$B$8*IF(H132="",F132,H132)+Profiles!$B$10*IF(I132="",F132,I132))+Profiles!$C$5*G132)/1000000+Profiles!$D$5*IF(J132="",0,J132)</f>
        <v/>
      </c>
      <c r="N132" s="10">
        <f>K132+L132+M132</f>
        <v/>
      </c>
      <c r="O132" s="10">
        <f>3*N132</f>
        <v/>
      </c>
    </row>
    <row r="133">
      <c r="A133" t="n">
        <v>132</v>
      </c>
      <c r="B133" t="inlineStr">
        <is>
          <t>google/gemini-2.5-pro</t>
        </is>
      </c>
      <c r="C133" t="inlineStr">
        <is>
          <t>2025-06-17</t>
        </is>
      </c>
      <c r="D133" t="inlineStr"/>
      <c r="E133" t="inlineStr"/>
      <c r="F133" s="9" t="n">
        <v>1.25</v>
      </c>
      <c r="G133" s="9" t="n">
        <v>10</v>
      </c>
      <c r="H133" s="9" t="n">
        <v>0.125</v>
      </c>
      <c r="I133" s="9" t="n">
        <v>0.375</v>
      </c>
      <c r="J133" s="9" t="n">
        <v>1.25e-06</v>
      </c>
      <c r="K133" s="10">
        <f>(Profiles!$B$3*(Profiles!$B$9*F133+Profiles!$B$8*IF(H133="",F133,H133)+Profiles!$B$10*IF(I133="",F133,I133))+Profiles!$C$3*G133)/1000000+Profiles!$D$3*IF(J133="",0,J133)</f>
        <v/>
      </c>
      <c r="L133" s="10">
        <f>(Profiles!$B$4*(Profiles!$B$9*F133+Profiles!$B$8*IF(H133="",F133,H133)+Profiles!$B$10*IF(I133="",F133,I133))+Profiles!$C$4*G133)/1000000+Profiles!$D$4*IF(J133="",0,J133)</f>
        <v/>
      </c>
      <c r="M133" s="10">
        <f>(Profiles!$B$5*(Profiles!$B$9*F133+Profiles!$B$8*IF(H133="",F133,H133)+Profiles!$B$10*IF(I133="",F133,I133))+Profiles!$C$5*G133)/1000000+Profiles!$D$5*IF(J133="",0,J133)</f>
        <v/>
      </c>
      <c r="N133" s="10">
        <f>K133+L133+M133</f>
        <v/>
      </c>
      <c r="O133" s="10">
        <f>3*N133</f>
        <v/>
      </c>
    </row>
    <row r="134">
      <c r="A134" t="n">
        <v>133</v>
      </c>
      <c r="B134" t="inlineStr">
        <is>
          <t>google/gemini-2.5-pro-preview</t>
        </is>
      </c>
      <c r="C134" t="inlineStr">
        <is>
          <t>2025-06-05</t>
        </is>
      </c>
      <c r="D134" t="inlineStr"/>
      <c r="E134" t="inlineStr"/>
      <c r="F134" s="9" t="n">
        <v>1.25</v>
      </c>
      <c r="G134" s="9" t="n">
        <v>10</v>
      </c>
      <c r="H134" s="9" t="n">
        <v>0.125</v>
      </c>
      <c r="I134" s="9" t="n">
        <v>0.375</v>
      </c>
      <c r="J134" s="9" t="n">
        <v>1.25e-06</v>
      </c>
      <c r="K134" s="10">
        <f>(Profiles!$B$3*(Profiles!$B$9*F134+Profiles!$B$8*IF(H134="",F134,H134)+Profiles!$B$10*IF(I134="",F134,I134))+Profiles!$C$3*G134)/1000000+Profiles!$D$3*IF(J134="",0,J134)</f>
        <v/>
      </c>
      <c r="L134" s="10">
        <f>(Profiles!$B$4*(Profiles!$B$9*F134+Profiles!$B$8*IF(H134="",F134,H134)+Profiles!$B$10*IF(I134="",F134,I134))+Profiles!$C$4*G134)/1000000+Profiles!$D$4*IF(J134="",0,J134)</f>
        <v/>
      </c>
      <c r="M134" s="10">
        <f>(Profiles!$B$5*(Profiles!$B$9*F134+Profiles!$B$8*IF(H134="",F134,H134)+Profiles!$B$10*IF(I134="",F134,I134))+Profiles!$C$5*G134)/1000000+Profiles!$D$5*IF(J134="",0,J134)</f>
        <v/>
      </c>
      <c r="N134" s="10">
        <f>K134+L134+M134</f>
        <v/>
      </c>
      <c r="O134" s="10">
        <f>3*N134</f>
        <v/>
      </c>
    </row>
    <row r="135">
      <c r="A135" t="n">
        <v>134</v>
      </c>
      <c r="B135" t="inlineStr">
        <is>
          <t>anthropic/claude-sonnet-4</t>
        </is>
      </c>
      <c r="C135" t="inlineStr">
        <is>
          <t>2025-05-22</t>
        </is>
      </c>
      <c r="D135" t="inlineStr"/>
      <c r="E135" t="inlineStr"/>
      <c r="F135" s="9" t="n">
        <v>3</v>
      </c>
      <c r="G135" s="9" t="n">
        <v>15</v>
      </c>
      <c r="H135" s="9" t="n">
        <v>0.3</v>
      </c>
      <c r="I135" s="9" t="n">
        <v>3.75</v>
      </c>
      <c r="J135" s="9" t="n"/>
      <c r="K135" s="10">
        <f>(Profiles!$B$3*(Profiles!$B$9*F135+Profiles!$B$8*IF(H135="",F135,H135)+Profiles!$B$10*IF(I135="",F135,I135))+Profiles!$C$3*G135)/1000000+Profiles!$D$3*IF(J135="",0,J135)</f>
        <v/>
      </c>
      <c r="L135" s="10">
        <f>(Profiles!$B$4*(Profiles!$B$9*F135+Profiles!$B$8*IF(H135="",F135,H135)+Profiles!$B$10*IF(I135="",F135,I135))+Profiles!$C$4*G135)/1000000+Profiles!$D$4*IF(J135="",0,J135)</f>
        <v/>
      </c>
      <c r="M135" s="10">
        <f>(Profiles!$B$5*(Profiles!$B$9*F135+Profiles!$B$8*IF(H135="",F135,H135)+Profiles!$B$10*IF(I135="",F135,I135))+Profiles!$C$5*G135)/1000000+Profiles!$D$5*IF(J135="",0,J135)</f>
        <v/>
      </c>
      <c r="N135" s="10">
        <f>K135+L135+M135</f>
        <v/>
      </c>
      <c r="O135" s="10">
        <f>3*N135</f>
        <v/>
      </c>
    </row>
    <row r="136">
      <c r="A136" t="n">
        <v>135</v>
      </c>
      <c r="B136" t="inlineStr">
        <is>
          <t>mistralai/mistral-medium-3</t>
        </is>
      </c>
      <c r="C136" t="inlineStr">
        <is>
          <t>2025-05-07</t>
        </is>
      </c>
      <c r="D136" t="inlineStr"/>
      <c r="E136" t="inlineStr"/>
      <c r="F136" s="9" t="n">
        <v>0.4</v>
      </c>
      <c r="G136" s="9" t="n">
        <v>2</v>
      </c>
      <c r="H136" s="9" t="n">
        <v>0.04</v>
      </c>
      <c r="I136" s="9" t="n"/>
      <c r="J136" s="9" t="n"/>
      <c r="K136" s="10">
        <f>(Profiles!$B$3*(Profiles!$B$9*F136+Profiles!$B$8*IF(H136="",F136,H136)+Profiles!$B$10*IF(I136="",F136,I136))+Profiles!$C$3*G136)/1000000+Profiles!$D$3*IF(J136="",0,J136)</f>
        <v/>
      </c>
      <c r="L136" s="10">
        <f>(Profiles!$B$4*(Profiles!$B$9*F136+Profiles!$B$8*IF(H136="",F136,H136)+Profiles!$B$10*IF(I136="",F136,I136))+Profiles!$C$4*G136)/1000000+Profiles!$D$4*IF(J136="",0,J136)</f>
        <v/>
      </c>
      <c r="M136" s="10">
        <f>(Profiles!$B$5*(Profiles!$B$9*F136+Profiles!$B$8*IF(H136="",F136,H136)+Profiles!$B$10*IF(I136="",F136,I136))+Profiles!$C$5*G136)/1000000+Profiles!$D$5*IF(J136="",0,J136)</f>
        <v/>
      </c>
      <c r="N136" s="10">
        <f>K136+L136+M136</f>
        <v/>
      </c>
      <c r="O136" s="10">
        <f>3*N136</f>
        <v/>
      </c>
    </row>
    <row r="137">
      <c r="A137" t="n">
        <v>136</v>
      </c>
      <c r="B137" t="inlineStr">
        <is>
          <t>openai/o4-mini-high</t>
        </is>
      </c>
      <c r="C137" t="inlineStr">
        <is>
          <t>2025-04-16</t>
        </is>
      </c>
      <c r="D137" t="inlineStr"/>
      <c r="E137" t="inlineStr"/>
      <c r="F137" s="9" t="n">
        <v>1.1</v>
      </c>
      <c r="G137" s="9" t="n">
        <v>4.4</v>
      </c>
      <c r="H137" s="9" t="n">
        <v>0.275</v>
      </c>
      <c r="I137" s="9" t="n"/>
      <c r="J137" s="9" t="n"/>
      <c r="K137" s="10">
        <f>(Profiles!$B$3*(Profiles!$B$9*F137+Profiles!$B$8*IF(H137="",F137,H137)+Profiles!$B$10*IF(I137="",F137,I137))+Profiles!$C$3*G137)/1000000+Profiles!$D$3*IF(J137="",0,J137)</f>
        <v/>
      </c>
      <c r="L137" s="10">
        <f>(Profiles!$B$4*(Profiles!$B$9*F137+Profiles!$B$8*IF(H137="",F137,H137)+Profiles!$B$10*IF(I137="",F137,I137))+Profiles!$C$4*G137)/1000000+Profiles!$D$4*IF(J137="",0,J137)</f>
        <v/>
      </c>
      <c r="M137" s="10">
        <f>(Profiles!$B$5*(Profiles!$B$9*F137+Profiles!$B$8*IF(H137="",F137,H137)+Profiles!$B$10*IF(I137="",F137,I137))+Profiles!$C$5*G137)/1000000+Profiles!$D$5*IF(J137="",0,J137)</f>
        <v/>
      </c>
      <c r="N137" s="10">
        <f>K137+L137+M137</f>
        <v/>
      </c>
      <c r="O137" s="10">
        <f>3*N137</f>
        <v/>
      </c>
    </row>
    <row r="138">
      <c r="A138" t="n">
        <v>137</v>
      </c>
      <c r="B138" t="inlineStr">
        <is>
          <t>openai/o3</t>
        </is>
      </c>
      <c r="C138" t="inlineStr">
        <is>
          <t>2025-04-16</t>
        </is>
      </c>
      <c r="D138" t="inlineStr"/>
      <c r="E138" t="inlineStr"/>
      <c r="F138" s="9" t="n">
        <v>2</v>
      </c>
      <c r="G138" s="9" t="n">
        <v>8</v>
      </c>
      <c r="H138" s="9" t="n">
        <v>0.5</v>
      </c>
      <c r="I138" s="9" t="n"/>
      <c r="J138" s="9" t="n"/>
      <c r="K138" s="10">
        <f>(Profiles!$B$3*(Profiles!$B$9*F138+Profiles!$B$8*IF(H138="",F138,H138)+Profiles!$B$10*IF(I138="",F138,I138))+Profiles!$C$3*G138)/1000000+Profiles!$D$3*IF(J138="",0,J138)</f>
        <v/>
      </c>
      <c r="L138" s="10">
        <f>(Profiles!$B$4*(Profiles!$B$9*F138+Profiles!$B$8*IF(H138="",F138,H138)+Profiles!$B$10*IF(I138="",F138,I138))+Profiles!$C$4*G138)/1000000+Profiles!$D$4*IF(J138="",0,J138)</f>
        <v/>
      </c>
      <c r="M138" s="10">
        <f>(Profiles!$B$5*(Profiles!$B$9*F138+Profiles!$B$8*IF(H138="",F138,H138)+Profiles!$B$10*IF(I138="",F138,I138))+Profiles!$C$5*G138)/1000000+Profiles!$D$5*IF(J138="",0,J138)</f>
        <v/>
      </c>
      <c r="N138" s="10">
        <f>K138+L138+M138</f>
        <v/>
      </c>
      <c r="O138" s="10">
        <f>3*N138</f>
        <v/>
      </c>
    </row>
    <row r="139">
      <c r="A139" t="n">
        <v>138</v>
      </c>
      <c r="B139" t="inlineStr">
        <is>
          <t>openai/o4-mini</t>
        </is>
      </c>
      <c r="C139" t="inlineStr">
        <is>
          <t>2025-04-16</t>
        </is>
      </c>
      <c r="D139" t="inlineStr"/>
      <c r="E139" t="inlineStr"/>
      <c r="F139" s="9" t="n">
        <v>1.1</v>
      </c>
      <c r="G139" s="9" t="n">
        <v>4.4</v>
      </c>
      <c r="H139" s="9" t="n">
        <v>0.275</v>
      </c>
      <c r="I139" s="9" t="n"/>
      <c r="J139" s="9" t="n"/>
      <c r="K139" s="10">
        <f>(Profiles!$B$3*(Profiles!$B$9*F139+Profiles!$B$8*IF(H139="",F139,H139)+Profiles!$B$10*IF(I139="",F139,I139))+Profiles!$C$3*G139)/1000000+Profiles!$D$3*IF(J139="",0,J139)</f>
        <v/>
      </c>
      <c r="L139" s="10">
        <f>(Profiles!$B$4*(Profiles!$B$9*F139+Profiles!$B$8*IF(H139="",F139,H139)+Profiles!$B$10*IF(I139="",F139,I139))+Profiles!$C$4*G139)/1000000+Profiles!$D$4*IF(J139="",0,J139)</f>
        <v/>
      </c>
      <c r="M139" s="10">
        <f>(Profiles!$B$5*(Profiles!$B$9*F139+Profiles!$B$8*IF(H139="",F139,H139)+Profiles!$B$10*IF(I139="",F139,I139))+Profiles!$C$5*G139)/1000000+Profiles!$D$5*IF(J139="",0,J139)</f>
        <v/>
      </c>
      <c r="N139" s="10">
        <f>K139+L139+M139</f>
        <v/>
      </c>
      <c r="O139" s="10">
        <f>3*N139</f>
        <v/>
      </c>
    </row>
    <row r="140">
      <c r="A140" t="n">
        <v>139</v>
      </c>
      <c r="B140" t="inlineStr">
        <is>
          <t>openai/gpt-4.1</t>
        </is>
      </c>
      <c r="C140" t="inlineStr">
        <is>
          <t>2025-04-14</t>
        </is>
      </c>
      <c r="D140" t="inlineStr"/>
      <c r="E140" t="inlineStr"/>
      <c r="F140" s="9" t="n">
        <v>2</v>
      </c>
      <c r="G140" s="9" t="n">
        <v>8</v>
      </c>
      <c r="H140" s="9" t="n">
        <v>0.5</v>
      </c>
      <c r="I140" s="9" t="n"/>
      <c r="J140" s="9" t="n"/>
      <c r="K140" s="10">
        <f>(Profiles!$B$3*(Profiles!$B$9*F140+Profiles!$B$8*IF(H140="",F140,H140)+Profiles!$B$10*IF(I140="",F140,I140))+Profiles!$C$3*G140)/1000000+Profiles!$D$3*IF(J140="",0,J140)</f>
        <v/>
      </c>
      <c r="L140" s="10">
        <f>(Profiles!$B$4*(Profiles!$B$9*F140+Profiles!$B$8*IF(H140="",F140,H140)+Profiles!$B$10*IF(I140="",F140,I140))+Profiles!$C$4*G140)/1000000+Profiles!$D$4*IF(J140="",0,J140)</f>
        <v/>
      </c>
      <c r="M140" s="10">
        <f>(Profiles!$B$5*(Profiles!$B$9*F140+Profiles!$B$8*IF(H140="",F140,H140)+Profiles!$B$10*IF(I140="",F140,I140))+Profiles!$C$5*G140)/1000000+Profiles!$D$5*IF(J140="",0,J140)</f>
        <v/>
      </c>
      <c r="N140" s="10">
        <f>K140+L140+M140</f>
        <v/>
      </c>
      <c r="O140" s="10">
        <f>3*N140</f>
        <v/>
      </c>
    </row>
    <row r="141">
      <c r="A141" t="n">
        <v>140</v>
      </c>
      <c r="B141" t="inlineStr">
        <is>
          <t>openai/gpt-4.1-mini</t>
        </is>
      </c>
      <c r="C141" t="inlineStr">
        <is>
          <t>2025-04-14</t>
        </is>
      </c>
      <c r="D141" t="inlineStr"/>
      <c r="E141" t="inlineStr"/>
      <c r="F141" s="9" t="n">
        <v>0.4</v>
      </c>
      <c r="G141" s="9" t="n">
        <v>1.6</v>
      </c>
      <c r="H141" s="9" t="n">
        <v>0.09999999999999999</v>
      </c>
      <c r="I141" s="9" t="n"/>
      <c r="J141" s="9" t="n"/>
      <c r="K141" s="10">
        <f>(Profiles!$B$3*(Profiles!$B$9*F141+Profiles!$B$8*IF(H141="",F141,H141)+Profiles!$B$10*IF(I141="",F141,I141))+Profiles!$C$3*G141)/1000000+Profiles!$D$3*IF(J141="",0,J141)</f>
        <v/>
      </c>
      <c r="L141" s="10">
        <f>(Profiles!$B$4*(Profiles!$B$9*F141+Profiles!$B$8*IF(H141="",F141,H141)+Profiles!$B$10*IF(I141="",F141,I141))+Profiles!$C$4*G141)/1000000+Profiles!$D$4*IF(J141="",0,J141)</f>
        <v/>
      </c>
      <c r="M141" s="10">
        <f>(Profiles!$B$5*(Profiles!$B$9*F141+Profiles!$B$8*IF(H141="",F141,H141)+Profiles!$B$10*IF(I141="",F141,I141))+Profiles!$C$5*G141)/1000000+Profiles!$D$5*IF(J141="",0,J141)</f>
        <v/>
      </c>
      <c r="N141" s="10">
        <f>K141+L141+M141</f>
        <v/>
      </c>
      <c r="O141" s="10">
        <f>3*N141</f>
        <v/>
      </c>
    </row>
    <row r="142">
      <c r="A142" t="n">
        <v>141</v>
      </c>
      <c r="B142" t="inlineStr">
        <is>
          <t>openai/gpt-4.1-nano</t>
        </is>
      </c>
      <c r="C142" t="inlineStr">
        <is>
          <t>2025-04-14</t>
        </is>
      </c>
      <c r="D142" t="inlineStr"/>
      <c r="E142" t="inlineStr"/>
      <c r="F142" s="9" t="n">
        <v>0.09999999999999999</v>
      </c>
      <c r="G142" s="9" t="n">
        <v>0.4</v>
      </c>
      <c r="H142" s="9" t="n">
        <v>0.025</v>
      </c>
      <c r="I142" s="9" t="n"/>
      <c r="J142" s="9" t="n"/>
      <c r="K142" s="10">
        <f>(Profiles!$B$3*(Profiles!$B$9*F142+Profiles!$B$8*IF(H142="",F142,H142)+Profiles!$B$10*IF(I142="",F142,I142))+Profiles!$C$3*G142)/1000000+Profiles!$D$3*IF(J142="",0,J142)</f>
        <v/>
      </c>
      <c r="L142" s="10">
        <f>(Profiles!$B$4*(Profiles!$B$9*F142+Profiles!$B$8*IF(H142="",F142,H142)+Profiles!$B$10*IF(I142="",F142,I142))+Profiles!$C$4*G142)/1000000+Profiles!$D$4*IF(J142="",0,J142)</f>
        <v/>
      </c>
      <c r="M142" s="10">
        <f>(Profiles!$B$5*(Profiles!$B$9*F142+Profiles!$B$8*IF(H142="",F142,H142)+Profiles!$B$10*IF(I142="",F142,I142))+Profiles!$C$5*G142)/1000000+Profiles!$D$5*IF(J142="",0,J142)</f>
        <v/>
      </c>
      <c r="N142" s="10">
        <f>K142+L142+M142</f>
        <v/>
      </c>
      <c r="O142" s="10">
        <f>3*N142</f>
        <v/>
      </c>
    </row>
    <row r="143">
      <c r="A143" t="n">
        <v>142</v>
      </c>
      <c r="B143" t="inlineStr">
        <is>
          <t>meta-llama/llama-4-maverick</t>
        </is>
      </c>
      <c r="C143" t="inlineStr">
        <is>
          <t>2025-04-05</t>
        </is>
      </c>
      <c r="D143" t="inlineStr"/>
      <c r="E143" t="inlineStr"/>
      <c r="F143" s="9" t="n">
        <v>0.1875</v>
      </c>
      <c r="G143" s="9" t="n">
        <v>0.6525</v>
      </c>
      <c r="H143" s="9" t="n"/>
      <c r="I143" s="9" t="n"/>
      <c r="J143" s="9" t="n"/>
      <c r="K143" s="10">
        <f>(Profiles!$B$3*(Profiles!$B$9*F143+Profiles!$B$8*IF(H143="",F143,H143)+Profiles!$B$10*IF(I143="",F143,I143))+Profiles!$C$3*G143)/1000000+Profiles!$D$3*IF(J143="",0,J143)</f>
        <v/>
      </c>
      <c r="L143" s="10">
        <f>(Profiles!$B$4*(Profiles!$B$9*F143+Profiles!$B$8*IF(H143="",F143,H143)+Profiles!$B$10*IF(I143="",F143,I143))+Profiles!$C$4*G143)/1000000+Profiles!$D$4*IF(J143="",0,J143)</f>
        <v/>
      </c>
      <c r="M143" s="10">
        <f>(Profiles!$B$5*(Profiles!$B$9*F143+Profiles!$B$8*IF(H143="",F143,H143)+Profiles!$B$10*IF(I143="",F143,I143))+Profiles!$C$5*G143)/1000000+Profiles!$D$5*IF(J143="",0,J143)</f>
        <v/>
      </c>
      <c r="N143" s="10">
        <f>K143+L143+M143</f>
        <v/>
      </c>
      <c r="O143" s="10">
        <f>3*N143</f>
        <v/>
      </c>
    </row>
    <row r="144">
      <c r="A144" t="n">
        <v>143</v>
      </c>
      <c r="B144" t="inlineStr">
        <is>
          <t>meta-llama/llama-4-scout</t>
        </is>
      </c>
      <c r="C144" t="inlineStr">
        <is>
          <t>2025-04-05</t>
        </is>
      </c>
      <c r="D144" t="inlineStr"/>
      <c r="E144" t="inlineStr"/>
      <c r="F144" s="9" t="n">
        <v>0.09999999999999999</v>
      </c>
      <c r="G144" s="9" t="n">
        <v>0.3</v>
      </c>
      <c r="H144" s="9" t="n"/>
      <c r="I144" s="9" t="n"/>
      <c r="J144" s="9" t="n"/>
      <c r="K144" s="10">
        <f>(Profiles!$B$3*(Profiles!$B$9*F144+Profiles!$B$8*IF(H144="",F144,H144)+Profiles!$B$10*IF(I144="",F144,I144))+Profiles!$C$3*G144)/1000000+Profiles!$D$3*IF(J144="",0,J144)</f>
        <v/>
      </c>
      <c r="L144" s="10">
        <f>(Profiles!$B$4*(Profiles!$B$9*F144+Profiles!$B$8*IF(H144="",F144,H144)+Profiles!$B$10*IF(I144="",F144,I144))+Profiles!$C$4*G144)/1000000+Profiles!$D$4*IF(J144="",0,J144)</f>
        <v/>
      </c>
      <c r="M144" s="10">
        <f>(Profiles!$B$5*(Profiles!$B$9*F144+Profiles!$B$8*IF(H144="",F144,H144)+Profiles!$B$10*IF(I144="",F144,I144))+Profiles!$C$5*G144)/1000000+Profiles!$D$5*IF(J144="",0,J144)</f>
        <v/>
      </c>
      <c r="N144" s="10">
        <f>K144+L144+M144</f>
        <v/>
      </c>
      <c r="O144" s="10">
        <f>3*N144</f>
        <v/>
      </c>
    </row>
    <row r="145">
      <c r="A145" t="n">
        <v>144</v>
      </c>
      <c r="B145" t="inlineStr">
        <is>
          <t>mistralai/mistral-small-3.1-24b-instruct</t>
        </is>
      </c>
      <c r="C145" t="inlineStr">
        <is>
          <t>2025-03-17</t>
        </is>
      </c>
      <c r="D145" t="inlineStr"/>
      <c r="E145" t="inlineStr"/>
      <c r="F145" s="9" t="n">
        <v>0.351</v>
      </c>
      <c r="G145" s="9" t="n">
        <v>0.5549999999999999</v>
      </c>
      <c r="H145" s="9" t="n"/>
      <c r="I145" s="9" t="n"/>
      <c r="J145" s="9" t="n"/>
      <c r="K145" s="10">
        <f>(Profiles!$B$3*(Profiles!$B$9*F145+Profiles!$B$8*IF(H145="",F145,H145)+Profiles!$B$10*IF(I145="",F145,I145))+Profiles!$C$3*G145)/1000000+Profiles!$D$3*IF(J145="",0,J145)</f>
        <v/>
      </c>
      <c r="L145" s="10">
        <f>(Profiles!$B$4*(Profiles!$B$9*F145+Profiles!$B$8*IF(H145="",F145,H145)+Profiles!$B$10*IF(I145="",F145,I145))+Profiles!$C$4*G145)/1000000+Profiles!$D$4*IF(J145="",0,J145)</f>
        <v/>
      </c>
      <c r="M145" s="10">
        <f>(Profiles!$B$5*(Profiles!$B$9*F145+Profiles!$B$8*IF(H145="",F145,H145)+Profiles!$B$10*IF(I145="",F145,I145))+Profiles!$C$5*G145)/1000000+Profiles!$D$5*IF(J145="",0,J145)</f>
        <v/>
      </c>
      <c r="N145" s="10">
        <f>K145+L145+M145</f>
        <v/>
      </c>
      <c r="O145" s="10">
        <f>3*N145</f>
        <v/>
      </c>
    </row>
    <row r="146">
      <c r="A146" t="n">
        <v>145</v>
      </c>
      <c r="B146" t="inlineStr">
        <is>
          <t>google/gemma-3-12b-it</t>
        </is>
      </c>
      <c r="C146" t="inlineStr">
        <is>
          <t>2025-03-13</t>
        </is>
      </c>
      <c r="D146" t="inlineStr"/>
      <c r="E146" t="inlineStr"/>
      <c r="F146" s="9" t="n">
        <v>0.05</v>
      </c>
      <c r="G146" s="9" t="n">
        <v>0.15</v>
      </c>
      <c r="H146" s="9" t="n"/>
      <c r="I146" s="9" t="n"/>
      <c r="J146" s="9" t="n"/>
      <c r="K146" s="10">
        <f>(Profiles!$B$3*(Profiles!$B$9*F146+Profiles!$B$8*IF(H146="",F146,H146)+Profiles!$B$10*IF(I146="",F146,I146))+Profiles!$C$3*G146)/1000000+Profiles!$D$3*IF(J146="",0,J146)</f>
        <v/>
      </c>
      <c r="L146" s="10">
        <f>(Profiles!$B$4*(Profiles!$B$9*F146+Profiles!$B$8*IF(H146="",F146,H146)+Profiles!$B$10*IF(I146="",F146,I146))+Profiles!$C$4*G146)/1000000+Profiles!$D$4*IF(J146="",0,J146)</f>
        <v/>
      </c>
      <c r="M146" s="10">
        <f>(Profiles!$B$5*(Profiles!$B$9*F146+Profiles!$B$8*IF(H146="",F146,H146)+Profiles!$B$10*IF(I146="",F146,I146))+Profiles!$C$5*G146)/1000000+Profiles!$D$5*IF(J146="",0,J146)</f>
        <v/>
      </c>
      <c r="N146" s="10">
        <f>K146+L146+M146</f>
        <v/>
      </c>
      <c r="O146" s="10">
        <f>3*N146</f>
        <v/>
      </c>
    </row>
    <row r="147">
      <c r="A147" t="n">
        <v>146</v>
      </c>
      <c r="B147" t="inlineStr">
        <is>
          <t>google/gemma-3-27b-it</t>
        </is>
      </c>
      <c r="C147" t="inlineStr">
        <is>
          <t>2025-03-12</t>
        </is>
      </c>
      <c r="D147" t="inlineStr"/>
      <c r="E147" t="inlineStr"/>
      <c r="F147" s="9" t="n">
        <v>0.08</v>
      </c>
      <c r="G147" s="9" t="n">
        <v>0.45</v>
      </c>
      <c r="H147" s="9" t="n">
        <v>0.04</v>
      </c>
      <c r="I147" s="9" t="n"/>
      <c r="J147" s="9" t="n"/>
      <c r="K147" s="10">
        <f>(Profiles!$B$3*(Profiles!$B$9*F147+Profiles!$B$8*IF(H147="",F147,H147)+Profiles!$B$10*IF(I147="",F147,I147))+Profiles!$C$3*G147)/1000000+Profiles!$D$3*IF(J147="",0,J147)</f>
        <v/>
      </c>
      <c r="L147" s="10">
        <f>(Profiles!$B$4*(Profiles!$B$9*F147+Profiles!$B$8*IF(H147="",F147,H147)+Profiles!$B$10*IF(I147="",F147,I147))+Profiles!$C$4*G147)/1000000+Profiles!$D$4*IF(J147="",0,J147)</f>
        <v/>
      </c>
      <c r="M147" s="10">
        <f>(Profiles!$B$5*(Profiles!$B$9*F147+Profiles!$B$8*IF(H147="",F147,H147)+Profiles!$B$10*IF(I147="",F147,I147))+Profiles!$C$5*G147)/1000000+Profiles!$D$5*IF(J147="",0,J147)</f>
        <v/>
      </c>
      <c r="N147" s="10">
        <f>K147+L147+M147</f>
        <v/>
      </c>
      <c r="O147" s="10">
        <f>3*N147</f>
        <v/>
      </c>
    </row>
    <row r="148">
      <c r="A148" t="n">
        <v>147</v>
      </c>
      <c r="B148" t="inlineStr">
        <is>
          <t>openai/o1</t>
        </is>
      </c>
      <c r="C148" t="inlineStr">
        <is>
          <t>2024-12-17</t>
        </is>
      </c>
      <c r="D148" t="inlineStr"/>
      <c r="E148" t="inlineStr"/>
      <c r="F148" s="9" t="n">
        <v>15</v>
      </c>
      <c r="G148" s="9" t="n">
        <v>60</v>
      </c>
      <c r="H148" s="9" t="n">
        <v>7.5</v>
      </c>
      <c r="I148" s="9" t="n"/>
      <c r="J148" s="9" t="n"/>
      <c r="K148" s="10">
        <f>(Profiles!$B$3*(Profiles!$B$9*F148+Profiles!$B$8*IF(H148="",F148,H148)+Profiles!$B$10*IF(I148="",F148,I148))+Profiles!$C$3*G148)/1000000+Profiles!$D$3*IF(J148="",0,J148)</f>
        <v/>
      </c>
      <c r="L148" s="10">
        <f>(Profiles!$B$4*(Profiles!$B$9*F148+Profiles!$B$8*IF(H148="",F148,H148)+Profiles!$B$10*IF(I148="",F148,I148))+Profiles!$C$4*G148)/1000000+Profiles!$D$4*IF(J148="",0,J148)</f>
        <v/>
      </c>
      <c r="M148" s="10">
        <f>(Profiles!$B$5*(Profiles!$B$9*F148+Profiles!$B$8*IF(H148="",F148,H148)+Profiles!$B$10*IF(I148="",F148,I148))+Profiles!$C$5*G148)/1000000+Profiles!$D$5*IF(J148="",0,J148)</f>
        <v/>
      </c>
      <c r="N148" s="10">
        <f>K148+L148+M148</f>
        <v/>
      </c>
      <c r="O148" s="10">
        <f>3*N148</f>
        <v/>
      </c>
    </row>
    <row r="149">
      <c r="A149" t="n">
        <v>148</v>
      </c>
      <c r="B149" t="inlineStr">
        <is>
          <t>amazon/nova-lite-v1</t>
        </is>
      </c>
      <c r="C149" t="inlineStr">
        <is>
          <t>2024-12-05</t>
        </is>
      </c>
      <c r="D149" t="inlineStr"/>
      <c r="E149" t="inlineStr"/>
      <c r="F149" s="9" t="n">
        <v>0.06</v>
      </c>
      <c r="G149" s="9" t="n">
        <v>0.24</v>
      </c>
      <c r="H149" s="9" t="n"/>
      <c r="I149" s="9" t="n"/>
      <c r="J149" s="9" t="n"/>
      <c r="K149" s="10">
        <f>(Profiles!$B$3*(Profiles!$B$9*F149+Profiles!$B$8*IF(H149="",F149,H149)+Profiles!$B$10*IF(I149="",F149,I149))+Profiles!$C$3*G149)/1000000+Profiles!$D$3*IF(J149="",0,J149)</f>
        <v/>
      </c>
      <c r="L149" s="10">
        <f>(Profiles!$B$4*(Profiles!$B$9*F149+Profiles!$B$8*IF(H149="",F149,H149)+Profiles!$B$10*IF(I149="",F149,I149))+Profiles!$C$4*G149)/1000000+Profiles!$D$4*IF(J149="",0,J149)</f>
        <v/>
      </c>
      <c r="M149" s="10">
        <f>(Profiles!$B$5*(Profiles!$B$9*F149+Profiles!$B$8*IF(H149="",F149,H149)+Profiles!$B$10*IF(I149="",F149,I149))+Profiles!$C$5*G149)/1000000+Profiles!$D$5*IF(J149="",0,J149)</f>
        <v/>
      </c>
      <c r="N149" s="10">
        <f>K149+L149+M149</f>
        <v/>
      </c>
      <c r="O149" s="10">
        <f>3*N149</f>
        <v/>
      </c>
    </row>
    <row r="150">
      <c r="A150" t="n">
        <v>149</v>
      </c>
      <c r="B150" t="inlineStr">
        <is>
          <t>amazon/nova-pro-v1</t>
        </is>
      </c>
      <c r="C150" t="inlineStr">
        <is>
          <t>2024-12-05</t>
        </is>
      </c>
      <c r="D150" t="inlineStr"/>
      <c r="E150" t="inlineStr"/>
      <c r="F150" s="9" t="n">
        <v>0.7999999999999999</v>
      </c>
      <c r="G150" s="9" t="n">
        <v>3.2</v>
      </c>
      <c r="H150" s="9" t="n"/>
      <c r="I150" s="9" t="n"/>
      <c r="J150" s="9" t="n"/>
      <c r="K150" s="10">
        <f>(Profiles!$B$3*(Profiles!$B$9*F150+Profiles!$B$8*IF(H150="",F150,H150)+Profiles!$B$10*IF(I150="",F150,I150))+Profiles!$C$3*G150)/1000000+Profiles!$D$3*IF(J150="",0,J150)</f>
        <v/>
      </c>
      <c r="L150" s="10">
        <f>(Profiles!$B$4*(Profiles!$B$9*F150+Profiles!$B$8*IF(H150="",F150,H150)+Profiles!$B$10*IF(I150="",F150,I150))+Profiles!$C$4*G150)/1000000+Profiles!$D$4*IF(J150="",0,J150)</f>
        <v/>
      </c>
      <c r="M150" s="10">
        <f>(Profiles!$B$5*(Profiles!$B$9*F150+Profiles!$B$8*IF(H150="",F150,H150)+Profiles!$B$10*IF(I150="",F150,I150))+Profiles!$C$5*G150)/1000000+Profiles!$D$5*IF(J150="",0,J150)</f>
        <v/>
      </c>
      <c r="N150" s="10">
        <f>K150+L150+M150</f>
        <v/>
      </c>
      <c r="O150" s="10">
        <f>3*N150</f>
        <v/>
      </c>
    </row>
    <row r="151">
      <c r="A151" t="n">
        <v>150</v>
      </c>
      <c r="B151" t="inlineStr">
        <is>
          <t>openai/gpt-4o-2024-11-20</t>
        </is>
      </c>
      <c r="C151" t="inlineStr">
        <is>
          <t>2024-11-20</t>
        </is>
      </c>
      <c r="D151" t="inlineStr"/>
      <c r="E151" t="inlineStr"/>
      <c r="F151" s="9" t="n">
        <v>2.5</v>
      </c>
      <c r="G151" s="9" t="n">
        <v>10</v>
      </c>
      <c r="H151" s="9" t="n">
        <v>1.25</v>
      </c>
      <c r="I151" s="9" t="n"/>
      <c r="J151" s="9" t="n"/>
      <c r="K151" s="10">
        <f>(Profiles!$B$3*(Profiles!$B$9*F151+Profiles!$B$8*IF(H151="",F151,H151)+Profiles!$B$10*IF(I151="",F151,I151))+Profiles!$C$3*G151)/1000000+Profiles!$D$3*IF(J151="",0,J151)</f>
        <v/>
      </c>
      <c r="L151" s="10">
        <f>(Profiles!$B$4*(Profiles!$B$9*F151+Profiles!$B$8*IF(H151="",F151,H151)+Profiles!$B$10*IF(I151="",F151,I151))+Profiles!$C$4*G151)/1000000+Profiles!$D$4*IF(J151="",0,J151)</f>
        <v/>
      </c>
      <c r="M151" s="10">
        <f>(Profiles!$B$5*(Profiles!$B$9*F151+Profiles!$B$8*IF(H151="",F151,H151)+Profiles!$B$10*IF(I151="",F151,I151))+Profiles!$C$5*G151)/1000000+Profiles!$D$5*IF(J151="",0,J151)</f>
        <v/>
      </c>
      <c r="N151" s="10">
        <f>K151+L151+M151</f>
        <v/>
      </c>
      <c r="O151" s="10">
        <f>3*N151</f>
        <v/>
      </c>
    </row>
    <row r="152">
      <c r="A152" t="n">
        <v>151</v>
      </c>
      <c r="B152" t="inlineStr">
        <is>
          <t>openai/gpt-4o-2024-08-06</t>
        </is>
      </c>
      <c r="C152" t="inlineStr">
        <is>
          <t>2024-08-06</t>
        </is>
      </c>
      <c r="D152" t="inlineStr"/>
      <c r="E152" t="inlineStr"/>
      <c r="F152" s="9" t="n">
        <v>2.5</v>
      </c>
      <c r="G152" s="9" t="n">
        <v>10</v>
      </c>
      <c r="H152" s="9" t="n">
        <v>1.25</v>
      </c>
      <c r="I152" s="9" t="n"/>
      <c r="J152" s="9" t="n"/>
      <c r="K152" s="10">
        <f>(Profiles!$B$3*(Profiles!$B$9*F152+Profiles!$B$8*IF(H152="",F152,H152)+Profiles!$B$10*IF(I152="",F152,I152))+Profiles!$C$3*G152)/1000000+Profiles!$D$3*IF(J152="",0,J152)</f>
        <v/>
      </c>
      <c r="L152" s="10">
        <f>(Profiles!$B$4*(Profiles!$B$9*F152+Profiles!$B$8*IF(H152="",F152,H152)+Profiles!$B$10*IF(I152="",F152,I152))+Profiles!$C$4*G152)/1000000+Profiles!$D$4*IF(J152="",0,J152)</f>
        <v/>
      </c>
      <c r="M152" s="10">
        <f>(Profiles!$B$5*(Profiles!$B$9*F152+Profiles!$B$8*IF(H152="",F152,H152)+Profiles!$B$10*IF(I152="",F152,I152))+Profiles!$C$5*G152)/1000000+Profiles!$D$5*IF(J152="",0,J152)</f>
        <v/>
      </c>
      <c r="N152" s="10">
        <f>K152+L152+M152</f>
        <v/>
      </c>
      <c r="O152" s="10">
        <f>3*N152</f>
        <v/>
      </c>
    </row>
    <row r="153">
      <c r="A153" t="n">
        <v>152</v>
      </c>
      <c r="B153" t="inlineStr">
        <is>
          <t>openai/gpt-4o-mini</t>
        </is>
      </c>
      <c r="C153" t="inlineStr">
        <is>
          <t>2024-07-18</t>
        </is>
      </c>
      <c r="D153" t="inlineStr"/>
      <c r="E153" t="inlineStr"/>
      <c r="F153" s="9" t="n">
        <v>0.15</v>
      </c>
      <c r="G153" s="9" t="n">
        <v>0.6</v>
      </c>
      <c r="H153" s="9" t="n">
        <v>0.075</v>
      </c>
      <c r="I153" s="9" t="n"/>
      <c r="J153" s="9" t="n"/>
      <c r="K153" s="10">
        <f>(Profiles!$B$3*(Profiles!$B$9*F153+Profiles!$B$8*IF(H153="",F153,H153)+Profiles!$B$10*IF(I153="",F153,I153))+Profiles!$C$3*G153)/1000000+Profiles!$D$3*IF(J153="",0,J153)</f>
        <v/>
      </c>
      <c r="L153" s="10">
        <f>(Profiles!$B$4*(Profiles!$B$9*F153+Profiles!$B$8*IF(H153="",F153,H153)+Profiles!$B$10*IF(I153="",F153,I153))+Profiles!$C$4*G153)/1000000+Profiles!$D$4*IF(J153="",0,J153)</f>
        <v/>
      </c>
      <c r="M153" s="10">
        <f>(Profiles!$B$5*(Profiles!$B$9*F153+Profiles!$B$8*IF(H153="",F153,H153)+Profiles!$B$10*IF(I153="",F153,I153))+Profiles!$C$5*G153)/1000000+Profiles!$D$5*IF(J153="",0,J153)</f>
        <v/>
      </c>
      <c r="N153" s="10">
        <f>K153+L153+M153</f>
        <v/>
      </c>
      <c r="O153" s="10">
        <f>3*N153</f>
        <v/>
      </c>
    </row>
    <row r="154">
      <c r="A154" t="n">
        <v>153</v>
      </c>
      <c r="B154" t="inlineStr">
        <is>
          <t>openai/gpt-4o-mini-2024-07-18</t>
        </is>
      </c>
      <c r="C154" t="inlineStr">
        <is>
          <t>2024-07-18</t>
        </is>
      </c>
      <c r="D154" t="inlineStr"/>
      <c r="E154" t="inlineStr"/>
      <c r="F154" s="9" t="n">
        <v>0.15</v>
      </c>
      <c r="G154" s="9" t="n">
        <v>0.6</v>
      </c>
      <c r="H154" s="9" t="n">
        <v>0.075</v>
      </c>
      <c r="I154" s="9" t="n"/>
      <c r="J154" s="9" t="n"/>
      <c r="K154" s="10">
        <f>(Profiles!$B$3*(Profiles!$B$9*F154+Profiles!$B$8*IF(H154="",F154,H154)+Profiles!$B$10*IF(I154="",F154,I154))+Profiles!$C$3*G154)/1000000+Profiles!$D$3*IF(J154="",0,J154)</f>
        <v/>
      </c>
      <c r="L154" s="10">
        <f>(Profiles!$B$4*(Profiles!$B$9*F154+Profiles!$B$8*IF(H154="",F154,H154)+Profiles!$B$10*IF(I154="",F154,I154))+Profiles!$C$4*G154)/1000000+Profiles!$D$4*IF(J154="",0,J154)</f>
        <v/>
      </c>
      <c r="M154" s="10">
        <f>(Profiles!$B$5*(Profiles!$B$9*F154+Profiles!$B$8*IF(H154="",F154,H154)+Profiles!$B$10*IF(I154="",F154,I154))+Profiles!$C$5*G154)/1000000+Profiles!$D$5*IF(J154="",0,J154)</f>
        <v/>
      </c>
      <c r="N154" s="10">
        <f>K154+L154+M154</f>
        <v/>
      </c>
      <c r="O154" s="10">
        <f>3*N154</f>
        <v/>
      </c>
    </row>
    <row r="155">
      <c r="A155" t="n">
        <v>154</v>
      </c>
      <c r="B155" t="inlineStr">
        <is>
          <t>openai/gpt-4o</t>
        </is>
      </c>
      <c r="C155" t="inlineStr">
        <is>
          <t>2024-05-13</t>
        </is>
      </c>
      <c r="D155" t="inlineStr"/>
      <c r="E155" t="inlineStr"/>
      <c r="F155" s="9" t="n">
        <v>2.5</v>
      </c>
      <c r="G155" s="9" t="n">
        <v>10</v>
      </c>
      <c r="H155" s="9" t="n">
        <v>1.25</v>
      </c>
      <c r="I155" s="9" t="n"/>
      <c r="J155" s="9" t="n"/>
      <c r="K155" s="10">
        <f>(Profiles!$B$3*(Profiles!$B$9*F155+Profiles!$B$8*IF(H155="",F155,H155)+Profiles!$B$10*IF(I155="",F155,I155))+Profiles!$C$3*G155)/1000000+Profiles!$D$3*IF(J155="",0,J155)</f>
        <v/>
      </c>
      <c r="L155" s="10">
        <f>(Profiles!$B$4*(Profiles!$B$9*F155+Profiles!$B$8*IF(H155="",F155,H155)+Profiles!$B$10*IF(I155="",F155,I155))+Profiles!$C$4*G155)/1000000+Profiles!$D$4*IF(J155="",0,J155)</f>
        <v/>
      </c>
      <c r="M155" s="10">
        <f>(Profiles!$B$5*(Profiles!$B$9*F155+Profiles!$B$8*IF(H155="",F155,H155)+Profiles!$B$10*IF(I155="",F155,I155))+Profiles!$C$5*G155)/1000000+Profiles!$D$5*IF(J155="",0,J155)</f>
        <v/>
      </c>
      <c r="N155" s="10">
        <f>K155+L155+M155</f>
        <v/>
      </c>
      <c r="O155" s="10">
        <f>3*N155</f>
        <v/>
      </c>
    </row>
    <row r="156">
      <c r="A156" t="n">
        <v>155</v>
      </c>
      <c r="B156" t="inlineStr">
        <is>
          <t>openai/gpt-4o-2024-05-13</t>
        </is>
      </c>
      <c r="C156" t="inlineStr">
        <is>
          <t>2024-05-13</t>
        </is>
      </c>
      <c r="D156" t="inlineStr"/>
      <c r="E156" t="inlineStr"/>
      <c r="F156" s="9" t="n">
        <v>5</v>
      </c>
      <c r="G156" s="9" t="n">
        <v>15</v>
      </c>
      <c r="H156" s="9" t="n"/>
      <c r="I156" s="9" t="n"/>
      <c r="J156" s="9" t="n"/>
      <c r="K156" s="10">
        <f>(Profiles!$B$3*(Profiles!$B$9*F156+Profiles!$B$8*IF(H156="",F156,H156)+Profiles!$B$10*IF(I156="",F156,I156))+Profiles!$C$3*G156)/1000000+Profiles!$D$3*IF(J156="",0,J156)</f>
        <v/>
      </c>
      <c r="L156" s="10">
        <f>(Profiles!$B$4*(Profiles!$B$9*F156+Profiles!$B$8*IF(H156="",F156,H156)+Profiles!$B$10*IF(I156="",F156,I156))+Profiles!$C$4*G156)/1000000+Profiles!$D$4*IF(J156="",0,J156)</f>
        <v/>
      </c>
      <c r="M156" s="10">
        <f>(Profiles!$B$5*(Profiles!$B$9*F156+Profiles!$B$8*IF(H156="",F156,H156)+Profiles!$B$10*IF(I156="",F156,I156))+Profiles!$C$5*G156)/1000000+Profiles!$D$5*IF(J156="",0,J156)</f>
        <v/>
      </c>
      <c r="N156" s="10">
        <f>K156+L156+M156</f>
        <v/>
      </c>
      <c r="O156" s="10">
        <f>3*N156</f>
        <v/>
      </c>
    </row>
    <row r="157">
      <c r="A157" t="n">
        <v>156</v>
      </c>
      <c r="B157" t="inlineStr">
        <is>
          <t>openai/gpt-4-turbo</t>
        </is>
      </c>
      <c r="C157" t="inlineStr">
        <is>
          <t>2024-04-09</t>
        </is>
      </c>
      <c r="D157" t="inlineStr"/>
      <c r="E157" t="inlineStr"/>
      <c r="F157" s="9" t="n">
        <v>10</v>
      </c>
      <c r="G157" s="9" t="n">
        <v>30</v>
      </c>
      <c r="H157" s="9" t="n"/>
      <c r="I157" s="9" t="n"/>
      <c r="J157" s="9" t="n"/>
      <c r="K157" s="10">
        <f>(Profiles!$B$3*(Profiles!$B$9*F157+Profiles!$B$8*IF(H157="",F157,H157)+Profiles!$B$10*IF(I157="",F157,I157))+Profiles!$C$3*G157)/1000000+Profiles!$D$3*IF(J157="",0,J157)</f>
        <v/>
      </c>
      <c r="L157" s="10">
        <f>(Profiles!$B$4*(Profiles!$B$9*F157+Profiles!$B$8*IF(H157="",F157,H157)+Profiles!$B$10*IF(I157="",F157,I157))+Profiles!$C$4*G157)/1000000+Profiles!$D$4*IF(J157="",0,J157)</f>
        <v/>
      </c>
      <c r="M157" s="10">
        <f>(Profiles!$B$5*(Profiles!$B$9*F157+Profiles!$B$8*IF(H157="",F157,H157)+Profiles!$B$10*IF(I157="",F157,I157))+Profiles!$C$5*G157)/1000000+Profiles!$D$5*IF(J157="",0,J157)</f>
        <v/>
      </c>
      <c r="N157" s="10">
        <f>K157+L157+M157</f>
        <v/>
      </c>
      <c r="O157" s="10">
        <f>3*N157</f>
        <v/>
      </c>
    </row>
    <row r="159">
      <c r="B159" s="4" t="inlineStr">
        <is>
          <t>total</t>
        </is>
      </c>
      <c r="K159" s="11">
        <f>SUM(K2:K157)</f>
        <v/>
      </c>
      <c r="L159" s="11">
        <f>SUM(L2:L157)</f>
        <v/>
      </c>
      <c r="M159" s="11">
        <f>SUM(M2:M157)</f>
        <v/>
      </c>
      <c r="N159" s="11">
        <f>SUM(N2:N157)</f>
        <v/>
      </c>
      <c r="O159" s="11">
        <f>SUM(O2:O157)</f>
        <v/>
      </c>
    </row>
  </sheetData>
  <autoFilter ref="A1:O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2" t="inlineStr">
        <is>
          <t>model</t>
        </is>
      </c>
      <c r="B1" s="2" t="inlineStr">
        <is>
          <t>why</t>
        </is>
      </c>
    </row>
    <row r="2">
      <c r="A2" t="inlineStr">
        <is>
          <t>google/gemini-3-pro-image</t>
        </is>
      </c>
      <c r="B2" t="inlineStr">
        <is>
          <t>image-generation model</t>
        </is>
      </c>
    </row>
    <row r="3">
      <c r="A3" t="inlineStr">
        <is>
          <t>openai/gpt-5-pro</t>
        </is>
      </c>
      <c r="B3" t="inlineStr">
        <is>
          <t>OpenAI Pro: thinks far longer, costs far more than its list price suggests</t>
        </is>
      </c>
    </row>
    <row r="4">
      <c r="A4" t="inlineStr">
        <is>
          <t>openai/gpt-5.2-pro</t>
        </is>
      </c>
      <c r="B4" t="inlineStr">
        <is>
          <t>OpenAI Pro: thinks far longer, costs far more than its list price suggests</t>
        </is>
      </c>
    </row>
    <row r="5">
      <c r="A5" t="inlineStr">
        <is>
          <t>openai/gpt-5.4-pro</t>
        </is>
      </c>
      <c r="B5" t="inlineStr">
        <is>
          <t>OpenAI Pro: thinks far longer, costs far more than its list price suggests</t>
        </is>
      </c>
    </row>
    <row r="6">
      <c r="A6" t="inlineStr">
        <is>
          <t>openai/gpt-5.5-pro</t>
        </is>
      </c>
      <c r="B6" t="inlineStr">
        <is>
          <t>OpenAI Pro: thinks far longer, costs far more than its list price suggests</t>
        </is>
      </c>
    </row>
    <row r="7">
      <c r="A7" t="inlineStr">
        <is>
          <t>openai/gpt-5.6-luna-pro</t>
        </is>
      </c>
      <c r="B7" t="inlineStr">
        <is>
          <t>OpenAI Pro: thinks far longer, costs far more than its list price suggests</t>
        </is>
      </c>
    </row>
    <row r="8">
      <c r="A8" t="inlineStr">
        <is>
          <t>openai/gpt-5.6-sol-pro</t>
        </is>
      </c>
      <c r="B8" t="inlineStr">
        <is>
          <t>OpenAI Pro: thinks far longer, costs far more than its list price suggests</t>
        </is>
      </c>
    </row>
    <row r="9">
      <c r="A9" t="inlineStr">
        <is>
          <t>openai/gpt-5.6-terra-pro</t>
        </is>
      </c>
      <c r="B9" t="inlineStr">
        <is>
          <t>OpenAI Pro: thinks far longer, costs far more than its list price suggests</t>
        </is>
      </c>
    </row>
    <row r="10">
      <c r="A10" t="inlineStr">
        <is>
          <t>openai/gpt-6-astra-pro</t>
        </is>
      </c>
      <c r="B10" t="inlineStr">
        <is>
          <t>OpenAI Pro: thinks far longer, costs far more than its list price suggests</t>
        </is>
      </c>
    </row>
    <row r="11">
      <c r="A11" t="inlineStr">
        <is>
          <t>openai/gpt-6-luna-pro</t>
        </is>
      </c>
      <c r="B11" t="inlineStr">
        <is>
          <t>OpenAI Pro: thinks far longer, costs far more than its list price suggests</t>
        </is>
      </c>
    </row>
    <row r="12">
      <c r="A12" t="inlineStr">
        <is>
          <t>openai/gpt-6-sol-pro</t>
        </is>
      </c>
      <c r="B12" t="inlineStr">
        <is>
          <t>OpenAI Pro: thinks far longer, costs far more than its list price suggests</t>
        </is>
      </c>
    </row>
    <row r="13">
      <c r="A13" t="inlineStr">
        <is>
          <t>openai/o3-pro</t>
        </is>
      </c>
      <c r="B13" t="inlineStr">
        <is>
          <t>OpenAI Pro: thinks far longer, costs far more than its list price suggests</t>
        </is>
      </c>
    </row>
    <row r="14">
      <c r="A14" t="inlineStr">
        <is>
          <t>sakana/fugu-max</t>
        </is>
      </c>
      <c r="B14" t="inlineStr">
        <is>
          <t>orchestrator (routes between models)</t>
        </is>
      </c>
    </row>
    <row r="15">
      <c r="A15" t="inlineStr">
        <is>
          <t>sakana/fugu-ultra</t>
        </is>
      </c>
      <c r="B15" t="inlineStr">
        <is>
          <t>orchestrator (routes between models)</t>
        </is>
      </c>
    </row>
    <row r="16">
      <c r="A16" t="inlineStr">
        <is>
          <t>sakana/fugu-ultra-v2</t>
        </is>
      </c>
      <c r="B16" t="inlineStr">
        <is>
          <t>orchestrator (routes between models)</t>
        </is>
      </c>
    </row>
    <row r="17">
      <c r="A17" t="inlineStr">
        <is>
          <t>sakana/sakana-namazu</t>
        </is>
      </c>
      <c r="B17" t="inlineStr">
        <is>
          <t>Japanese fine-tune of Kimi K2.6</t>
        </is>
      </c>
    </row>
    <row r="18">
      <c r="A18" t="inlineStr">
        <is>
          <t>openai/gpt-5.5</t>
        </is>
      </c>
      <c r="B18" t="inlineStr">
        <is>
          <t>superseded by GPT-6 (latest list only)</t>
        </is>
      </c>
    </row>
    <row r="19">
      <c r="A19" t="inlineStr">
        <is>
          <t>openai/gpt-chat-latest</t>
        </is>
      </c>
      <c r="B19" t="inlineStr">
        <is>
          <t>ChatGPT's rolling alias (latest list only)</t>
        </is>
      </c>
    </row>
    <row r="20">
      <c r="A20" t="inlineStr">
        <is>
          <t>xiaomi/mimo-v2.5</t>
        </is>
      </c>
      <c r="B20" t="inlineStr">
        <is>
          <t>older MiMo (latest list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9" customWidth="1" min="4" max="4"/>
    <col width="55" customWidth="1" min="5" max="5"/>
  </cols>
  <sheetData>
    <row r="1">
      <c r="A1" s="4" t="inlineStr">
        <is>
          <t>Token profile of one painting in 4 sittings (edit the blue cells: every cost recalculates)</t>
        </is>
      </c>
    </row>
    <row r="2">
      <c r="A2" s="2" t="inlineStr">
        <is>
          <t>profile</t>
        </is>
      </c>
      <c r="B2" s="2" t="inlineStr">
        <is>
          <t>prompt tokens</t>
        </is>
      </c>
      <c r="C2" s="2" t="inlineStr">
        <is>
          <t>output tokens</t>
        </is>
      </c>
      <c r="D2" s="2" t="inlineStr">
        <is>
          <t>images</t>
        </is>
      </c>
      <c r="E2" s="2" t="inlineStr">
        <is>
          <t>based on</t>
        </is>
      </c>
    </row>
    <row r="3">
      <c r="A3" t="inlineStr">
        <is>
          <t>light</t>
        </is>
      </c>
      <c r="B3" s="12" t="n">
        <v>4600000</v>
      </c>
      <c r="C3" s="12" t="n">
        <v>72000</v>
      </c>
      <c r="D3" s="12" t="n">
        <v>55</v>
      </c>
      <c r="E3" t="inlineStr">
        <is>
          <t>r19 Luna F (stopped early, 36 chunks)</t>
        </is>
      </c>
    </row>
    <row r="4">
      <c r="A4" t="inlineStr">
        <is>
          <t>typical</t>
        </is>
      </c>
      <c r="B4" s="12" t="n">
        <v>40000000</v>
      </c>
      <c r="C4" s="12" t="n">
        <v>220000</v>
      </c>
      <c r="D4" s="12" t="n">
        <v>200</v>
      </c>
      <c r="E4" t="inlineStr">
        <is>
          <t>median of our 9 full 4-sitting paintings (rounds 17-19)</t>
        </is>
      </c>
    </row>
    <row r="5">
      <c r="A5" t="inlineStr">
        <is>
          <t>heavy</t>
        </is>
      </c>
      <c r="B5" s="12" t="n">
        <v>75000000</v>
      </c>
      <c r="C5" s="12" t="n">
        <v>600000</v>
      </c>
      <c r="D5" s="12" t="n">
        <v>300</v>
      </c>
      <c r="E5" t="inlineStr">
        <is>
          <t>r19 Gemini B, r18 Space Bunny</t>
        </is>
      </c>
    </row>
    <row r="7">
      <c r="A7" s="4" t="inlineStr">
        <is>
          <t>prompt split</t>
        </is>
      </c>
      <c r="B7" t="inlineStr">
        <is>
          <t>share</t>
        </is>
      </c>
    </row>
    <row r="8">
      <c r="A8" t="inlineStr">
        <is>
          <t>cache read</t>
        </is>
      </c>
      <c r="B8" s="13" t="n">
        <v>0.89</v>
      </c>
    </row>
    <row r="9">
      <c r="A9" t="inlineStr">
        <is>
          <t>uncached input</t>
        </is>
      </c>
      <c r="B9" s="13" t="n">
        <v>0.08</v>
      </c>
    </row>
    <row r="10">
      <c r="A10" t="inlineStr">
        <is>
          <t>cache write</t>
        </is>
      </c>
      <c r="B10" s="1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2026-09-28T14:07:45Z</dcterms:created>
  <dcterms:modified xsi:type="dcterms:W3CDTF">2026-09-28T14:07:45Z</dcterms:modified>
</cp:coreProperties>
</file>